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 sanghwal\"/>
    </mc:Choice>
  </mc:AlternateContent>
  <xr:revisionPtr revIDLastSave="0" documentId="13_ncr:1_{67A6399F-CFBE-49C2-A3D4-35198B5B0742}" xr6:coauthVersionLast="47" xr6:coauthVersionMax="47" xr10:uidLastSave="{00000000-0000-0000-0000-000000000000}"/>
  <bookViews>
    <workbookView xWindow="4290" yWindow="1830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F18" i="1" s="1"/>
  <c r="N2" i="5"/>
  <c r="O2" i="5" s="1"/>
  <c r="E2" i="5"/>
  <c r="G21" i="1" l="1"/>
  <c r="D21" i="1" s="1"/>
  <c r="G22" i="1"/>
  <c r="D22" i="1" s="1"/>
  <c r="G23" i="1"/>
  <c r="D23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<sst xmlns="http://schemas.openxmlformats.org/spreadsheetml/2006/main" count="637" uniqueCount="153">
  <si>
    <t>들꽃</t>
    <phoneticPr fontId="1" type="noConversion"/>
  </si>
  <si>
    <t>자연산 진주</t>
    <phoneticPr fontId="1" type="noConversion"/>
  </si>
  <si>
    <t>신호탄</t>
    <phoneticPr fontId="1" type="noConversion"/>
  </si>
  <si>
    <t>등급</t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</si>
  <si>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</si>
  <si>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</si>
  <si>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</si>
  <si>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</si>
  <si>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</si>
  <si>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</si>
  <si>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</si>
  <si>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</si>
  <si>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</si>
  <si>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</si>
  <si>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</si>
  <si>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</si>
  <si>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</si>
  <si>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</si>
  <si>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</si>
  <si>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</si>
  <si>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</si>
  <si>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</si>
  <si>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</si>
  <si>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</si>
  <si>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</si>
  <si>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</si>
  <si>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</si>
  <si>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</si>
  <si>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</si>
  <si>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</si>
  <si>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</si>
  <si>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</si>
  <si>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</si>
  <si>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</si>
  <si>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</si>
  <si>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</si>
  <si>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</si>
  <si>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</si>
  <si>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</si>
  <si>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</si>
  <si>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</si>
  <si>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</si>
  <si>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</si>
  <si>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</si>
  <si>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</si>
  <si>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</si>
  <si>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</si>
  <si>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</si>
  <si>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</si>
  <si>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</si>
  <si>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</si>
  <si>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</si>
  <si>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</si>
  <si>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</si>
  <si>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</si>
  <si>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</si>
  <si>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</si>
  <si>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</si>
  <si>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</si>
  <si>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</si>
  <si>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</si>
  <si>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</si>
  <si>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</si>
  <si>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</si>
  <si>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</si>
  <si>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</si>
  <si>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</si>
  <si>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</si>
  <si>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</si>
  <si>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</si>
  <si>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</si>
  <si>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</si>
  <si>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</si>
  <si>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</si>
  <si>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</si>
  <si>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</si>
  <si>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</si>
  <si>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</si>
  <si>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</si>
  <si>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</si>
  <si>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</si>
  <si>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</si>
  <si>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</si>
  <si>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</si>
  <si>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</si>
  <si>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</si>
  <si>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</si>
  <si>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</si>
  <si>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</si>
  <si>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</si>
  <si>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</si>
  <si>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</si>
  <si>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</si>
  <si>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</si>
  <si>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</si>
  <si>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</si>
  <si>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</si>
  <si>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</si>
  <si>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</si>
  <si>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</si>
  <si>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</si>
  <si>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</si>
  <si>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</si>
  <si>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</si>
  <si>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</si>
  <si>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</si>
  <si>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</si>
  <si>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</si>
  <si>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</si>
  <si>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</si>
  <si>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</si>
  <si>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</si>
  <si>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</si>
  <si>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</si>
  <si>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</si>
  <si>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</si>
  <si>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</si>
  <si>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</si>
  <si>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</si>
  <si>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장인의 마늘 스테이크 정식 [10개 단위 판매]</t>
  </si>
  <si>
    <t>장인의 마늘 스테이크 정식 [10개 단위 판매]</t>
    <phoneticPr fontId="1" type="noConversion"/>
  </si>
  <si>
    <t>달인의 버터 스테이크 정식 [10개 단위 판매]</t>
  </si>
  <si>
    <t>명인의 허브 스테이크 정식 [10개 단위 판매]</t>
  </si>
  <si>
    <t>달인의 버터 스테이크 정식 [10개 단위 판매]</t>
    <phoneticPr fontId="1" type="noConversion"/>
  </si>
  <si>
    <t>명인의 허브 스테이크 정식 [10개 단위 판매]</t>
    <phoneticPr fontId="1" type="noConversion"/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</si>
  <si>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</si>
  <si>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</si>
  <si>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</si>
  <si>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</si>
  <si>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</si>
  <si>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</si>
  <si>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</si>
  <si>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</si>
  <si>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</si>
  <si>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</si>
  <si>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</si>
  <si>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</si>
  <si>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</si>
  <si>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</si>
  <si>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</si>
  <si>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</si>
  <si>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</si>
  <si>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</si>
  <si>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</si>
  <si>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</si>
  <si>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</si>
  <si>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</si>
  <si>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</si>
  <si>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</si>
  <si>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</si>
  <si>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</si>
  <si>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r>
      <t xml:space="preserve"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
</t>
    </r>
    <r>
      <rPr>
        <sz val="14"/>
        <color rgb="FFFF0000"/>
        <rFont val="맑은 고딕"/>
        <family val="3"/>
        <charset val="129"/>
        <scheme val="minor"/>
      </rPr>
      <t xml:space="preserve">!!! 반드시 폴더 내의 Readme.txt 파일을 먼저 읽어주세요
</t>
    </r>
    <r>
      <rPr>
        <sz val="14"/>
        <color rgb="FF0000FF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4"/>
        <color rgb="FFFFFF00"/>
        <rFont val="맑은 고딕"/>
        <family val="3"/>
        <charset val="129"/>
        <scheme val="minor"/>
      </rPr>
      <t>!!! 반드시 폴더 내의 Readme.txt 파일을 먼저 읽어주세요</t>
    </r>
    <r>
      <rPr>
        <sz val="14"/>
        <color rgb="FFFF0000"/>
        <rFont val="맑은 고딕"/>
        <family val="3"/>
        <charset val="129"/>
        <scheme val="minor"/>
      </rPr>
      <t xml:space="preserve">
</t>
    </r>
    <r>
      <rPr>
        <sz val="11"/>
        <color theme="1"/>
        <rFont val="맑은 고딕"/>
        <family val="2"/>
        <charset val="129"/>
        <scheme val="minor"/>
      </rPr>
      <t xml:space="preserve">
주의) 이 파일이 base.xlsm 파일이라면 우측에 계정정보, 확률 입력부분을 제외하고는 수정하거나 삭제하지 마세요.</t>
    </r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</si>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</sst>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color rgb="FFFFFF00"/>
      <name val="맑은 고딕"/>
      <family val="3"/>
      <charset val="129"/>
      <scheme val="minor"/>
    </font>
    <font>
      <sz val="14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179" fontId="6" fillId="3" borderId="9" xfId="0" applyNumberFormat="1" applyFont="1" applyFill="1" applyBorder="1" applyAlignment="1" applyProtection="1">
      <alignment horizontal="center" vertical="center"/>
    </xf>
    <xf numFmtId="179" fontId="6" fillId="3" borderId="11" xfId="0" applyNumberFormat="1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179" fontId="6" fillId="3" borderId="1" xfId="0" applyNumberFormat="1" applyFont="1" applyFill="1" applyBorder="1" applyAlignment="1" applyProtection="1">
      <alignment horizontal="center" vertical="center"/>
    </xf>
    <xf numFmtId="179" fontId="6" fillId="3" borderId="19" xfId="0" applyNumberFormat="1" applyFont="1" applyFill="1" applyBorder="1" applyAlignment="1" applyProtection="1">
      <alignment horizontal="center" vertical="center"/>
    </xf>
    <xf numFmtId="179" fontId="6" fillId="3" borderId="20" xfId="0" applyNumberFormat="1" applyFont="1" applyFill="1" applyBorder="1" applyAlignment="1" applyProtection="1">
      <alignment horizontal="center" vertical="center"/>
    </xf>
    <xf numFmtId="179" fontId="6" fillId="3" borderId="21" xfId="0" applyNumberFormat="1" applyFont="1" applyFill="1" applyBorder="1" applyAlignment="1" applyProtection="1">
      <alignment horizontal="center" vertical="center"/>
    </xf>
    <xf numFmtId="179" fontId="6" fillId="3" borderId="36" xfId="0" applyNumberFormat="1" applyFont="1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179" fontId="6" fillId="3" borderId="26" xfId="0" applyNumberFormat="1" applyFont="1" applyFill="1" applyBorder="1" applyAlignment="1" applyProtection="1">
      <alignment horizontal="center" vertical="center"/>
      <protection locked="0"/>
    </xf>
    <xf numFmtId="179" fontId="6" fillId="3" borderId="27" xfId="0" applyNumberFormat="1" applyFont="1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 wrapText="1"/>
    </xf>
    <xf numFmtId="0" fontId="0" fillId="2" borderId="7" xfId="0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6" xfId="0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0" fontId="0" fillId="2" borderId="17" xfId="0" applyFill="1" applyBorder="1" applyAlignment="1" applyProtection="1">
      <alignment horizontal="center" vertical="center" wrapText="1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66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0AEA9B-7585-416F-8BE8-76396F355368}" name="생활_1" displayName="생활_1" ref="A1:B11" totalsRowShown="0" headerRowDxfId="61">
  <autoFilter ref="A1:B11" xr:uid="{5D0AEA9B-7585-416F-8BE8-76396F355368}"/>
  <tableColumns count="2">
    <tableColumn id="1" xr3:uid="{6BD80AB0-54E7-4899-B7F3-A1057C4A4384}" name="등급" dataDxfId="60"/>
    <tableColumn id="2" xr3:uid="{49C215C3-11EB-44B1-B083-DA589ED34469}" name="최저가" dataDxfId="5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B48228D-D55A-4628-AE92-D17F4D3A744E}" name="생활_2" displayName="생활_2" ref="A12:B22" totalsRowShown="0" headerRowDxfId="58">
  <autoFilter ref="A12:B22" xr:uid="{FB48228D-D55A-4628-AE92-D17F4D3A744E}"/>
  <tableColumns count="2">
    <tableColumn id="1" xr3:uid="{5E2F8EFE-7E82-4F53-B4BF-690414886D26}" name="등급" dataDxfId="57"/>
    <tableColumn id="2" xr3:uid="{B2D7168A-F45D-46BF-97ED-4CB851863498}" name="최저가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37DF78-817D-4756-AB4F-2098C38E7E86}" name="생활_3" displayName="생활_3" ref="A23:B33" totalsRowShown="0" headerRowDxfId="55">
  <autoFilter ref="A23:B33" xr:uid="{AB37DF78-817D-4756-AB4F-2098C38E7E86}"/>
  <tableColumns count="2">
    <tableColumn id="1" xr3:uid="{B59CB587-0C9B-42C5-BF96-1BA1402D8B8C}" name="등급" dataDxfId="54"/>
    <tableColumn id="2" xr3:uid="{BE5B47DF-48CF-4858-B26A-970FF44883CA}" name="최저가" dataDxfId="5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EB799B-761B-4F6A-8606-FBD984481029}" name="생활_4" displayName="생활_4" ref="A34:B39" totalsRowShown="0" dataDxfId="52">
  <autoFilter ref="A34:B39" xr:uid="{63EB799B-761B-4F6A-8606-FBD984481029}"/>
  <tableColumns count="2">
    <tableColumn id="1" xr3:uid="{6A5B094C-2514-4645-9723-60D77A63C5ED}" name="등급" dataDxfId="51"/>
    <tableColumn id="2" xr3:uid="{39DF80BA-3896-4E67-BB97-ECBC1B0C7B5F}" name="최저가" dataDxf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32A66E8-2066-468B-AAB3-24EC55572C37}" name="배틀아이템_1" displayName="배틀아이템_1" ref="F1:G11" totalsRowShown="0" headerRowDxfId="49" dataDxfId="48">
  <autoFilter ref="F1:G11" xr:uid="{132A66E8-2066-468B-AAB3-24EC55572C37}"/>
  <tableColumns count="2">
    <tableColumn id="1" xr3:uid="{56F29C7D-727E-4D9F-BFC8-13DACFCCA3B6}" name="등급" dataDxfId="47"/>
    <tableColumn id="4" xr3:uid="{8ACE00D3-FE67-428D-AF85-A2551875564D}" name="최저가" dataDxfId="4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33EB3F-59F8-41E1-8F0D-2D8C3006DBAB}" name="배틀아이템_2" displayName="배틀아이템_2" ref="F12:G22" totalsRowShown="0" headerRowDxfId="45">
  <autoFilter ref="F12:G22" xr:uid="{A533EB3F-59F8-41E1-8F0D-2D8C3006DBAB}"/>
  <tableColumns count="2">
    <tableColumn id="1" xr3:uid="{C232F45D-AF09-424C-87DA-6F8A57ACDA06}" name="등급" dataDxfId="44"/>
    <tableColumn id="2" xr3:uid="{E185ED7F-5FE9-4497-AFA3-D7F3257EC33B}" name="최저가" dataDxf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8C6167-E42F-4B20-BBB4-11CB31A0744E}" name="배틀아이템_3" displayName="배틀아이템_3" ref="F23:G33" totalsRowShown="0" dataDxfId="42">
  <autoFilter ref="F23:G33" xr:uid="{838C6167-E42F-4B20-BBB4-11CB31A0744E}"/>
  <tableColumns count="2">
    <tableColumn id="1" xr3:uid="{C722ED88-2067-4560-A1C9-3450D1F2D4F2}" name="등급" dataDxfId="41"/>
    <tableColumn id="2" xr3:uid="{92D9F65E-EB6C-45A9-9B26-02CB664659B3}" name="최저가" dataDxfId="4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F96FEA1-A4EF-47AF-852A-6AACCF4F3728}" name="배틀아이템_4" displayName="배틀아이템_4" ref="F34:G44" totalsRowShown="0" headerRowDxfId="39" dataDxfId="38">
  <autoFilter ref="F34:G44" xr:uid="{5F96FEA1-A4EF-47AF-852A-6AACCF4F3728}"/>
  <tableColumns count="2">
    <tableColumn id="1" xr3:uid="{C2C1E2BD-5709-41C4-81C1-43960E0B1B48}" name="등급" dataDxfId="37"/>
    <tableColumn id="2" xr3:uid="{FE70188B-4F4F-4350-BA88-9EFB38643C29}" name="최저가" dataDxfId="3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0EC01B-1176-4CD1-BD6D-7D36EA8304A2}" name="배틀아이템_5" displayName="배틀아이템_5" ref="F45:G55" totalsRowShown="0" headerRowDxfId="35" dataDxfId="34">
  <autoFilter ref="F45:G55" xr:uid="{9B0EC01B-1176-4CD1-BD6D-7D36EA8304A2}"/>
  <tableColumns count="2">
    <tableColumn id="1" xr3:uid="{2182E1E0-5547-427C-8EDE-22F1C83B321B}" name="등급" dataDxfId="33"/>
    <tableColumn id="2" xr3:uid="{4DA83636-5A27-47B4-941D-E5A5D15CECD4}" name="최저가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99B6CC6-6D4C-4682-A538-8C1194BBFF0E}" name="배틀아이템_6" displayName="배틀아이템_6" ref="F56:G59" totalsRowShown="0" headerRowDxfId="31" dataDxfId="30">
  <autoFilter ref="F56:G59" xr:uid="{699B6CC6-6D4C-4682-A538-8C1194BBFF0E}"/>
  <tableColumns count="2">
    <tableColumn id="1" xr3:uid="{377C6EA6-6866-49C0-B214-E067991779DE}" name="등급" dataDxfId="29"/>
    <tableColumn id="2" xr3:uid="{9E54A0B4-1965-4A04-A0E4-0EA70510CECB}" name="최저가" dataDxfId="2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DBC0B5-106C-4931-BB35-F921D386C736}" name="오레하융화재료" displayName="오레하융화재료" ref="F60:G63" totalsRowShown="0" headerRowDxfId="27" dataDxfId="26">
  <autoFilter ref="F60:G63" xr:uid="{65DBC0B5-106C-4931-BB35-F921D386C736}"/>
  <tableColumns count="2">
    <tableColumn id="1" xr3:uid="{746A31FB-2E72-4AC2-A949-85A337E69B61}" name="등급" dataDxfId="25"/>
    <tableColumn id="2" xr3:uid="{8B5F90B0-C2F4-48B4-AC34-B06DA7875276}" name="최저가" dataDxfId="2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CEEC62-7606-4A32-A455-70F4D9F41D6B}" name="도구제작부품" displayName="도구제작부품" ref="F64:G65" totalsRowShown="0" headerRowDxfId="23" dataDxfId="22">
  <autoFilter ref="F64:G65" xr:uid="{94CEEC62-7606-4A32-A455-70F4D9F41D6B}"/>
  <tableColumns count="2">
    <tableColumn id="1" xr3:uid="{CEDD017D-26AE-4207-9A50-21E601373E75}" name="등급" dataDxfId="21"/>
    <tableColumn id="2" xr3:uid="{54E55B72-8643-41F7-BA95-4F78A71359D6}" name="최저가" dataDxfId="2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E466852-ACB7-4FE4-B288-6492D971DB00}" name="현자의가루" displayName="현자의가루" ref="F66:G67" totalsRowShown="0" headerRowDxfId="19" dataDxfId="18">
  <autoFilter ref="F66:G67" xr:uid="{4E466852-ACB7-4FE4-B288-6492D971DB00}"/>
  <tableColumns count="2">
    <tableColumn id="1" xr3:uid="{8ED32863-7392-4217-AB60-7E7E7F0740CE}" name="등급" dataDxfId="17"/>
    <tableColumn id="2" xr3:uid="{BD971074-CB89-4C54-B0D4-9C0CC1EA8C7D}" name="최저가" dataDxfId="1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E80AFE-7F3A-4742-AB75-DDDEA6FB9F0F}" name="거래소_아이템_리스트" displayName="거래소_아이템_리스트" ref="F68:G77" totalsRowShown="0" dataDxfId="15">
  <autoFilter ref="F68:G77" xr:uid="{5EE80AFE-7F3A-4742-AB75-DDDEA6FB9F0F}"/>
  <tableColumns count="2">
    <tableColumn id="1" xr3:uid="{F4E33AB7-00B5-4557-856D-E38194BA700E}" name="등급" dataDxfId="14"/>
    <tableColumn id="2" xr3:uid="{47374DCA-11E1-428E-AC0A-8A909B68575B}" name="최저가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J3" sqref="J3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02" t="s">
        <v>151</v>
      </c>
      <c r="C2" s="103"/>
      <c r="D2" s="103"/>
      <c r="E2" s="103"/>
      <c r="F2" s="104"/>
      <c r="G2" s="20"/>
      <c r="H2" s="20"/>
      <c r="I2" s="20"/>
      <c r="J2" s="20"/>
      <c r="K2" s="20"/>
      <c r="L2" s="20"/>
    </row>
    <row r="3" spans="1:12">
      <c r="A3" s="20"/>
      <c r="B3" s="105"/>
      <c r="C3" s="106"/>
      <c r="D3" s="106"/>
      <c r="E3" s="106"/>
      <c r="F3" s="107"/>
      <c r="G3" s="20"/>
      <c r="H3" s="20"/>
      <c r="I3" s="20"/>
      <c r="J3" s="20"/>
      <c r="K3" s="20"/>
      <c r="L3" s="20"/>
    </row>
    <row r="4" spans="1:12" ht="17.25" thickBot="1">
      <c r="A4" s="20"/>
      <c r="B4" s="105"/>
      <c r="C4" s="106"/>
      <c r="D4" s="106"/>
      <c r="E4" s="106"/>
      <c r="F4" s="107"/>
      <c r="G4" s="20"/>
      <c r="H4" s="20"/>
      <c r="I4" s="20"/>
      <c r="J4" s="20"/>
      <c r="K4" s="20"/>
      <c r="L4" s="20"/>
    </row>
    <row r="5" spans="1:12">
      <c r="A5" s="20"/>
      <c r="B5" s="105"/>
      <c r="C5" s="106"/>
      <c r="D5" s="106"/>
      <c r="E5" s="106"/>
      <c r="F5" s="107"/>
      <c r="G5" s="20"/>
      <c r="H5" s="95" t="s">
        <v>145</v>
      </c>
      <c r="I5" s="96" t="s">
        <v>149</v>
      </c>
      <c r="J5" s="135" t="s">
        <v>150</v>
      </c>
      <c r="K5" s="135"/>
      <c r="L5" s="136"/>
    </row>
    <row r="6" spans="1:12">
      <c r="A6" s="20"/>
      <c r="B6" s="105"/>
      <c r="C6" s="106"/>
      <c r="D6" s="106"/>
      <c r="E6" s="106"/>
      <c r="F6" s="107"/>
      <c r="G6" s="20"/>
      <c r="H6" s="27" t="s">
        <v>146</v>
      </c>
      <c r="I6" s="140"/>
      <c r="J6" s="141"/>
      <c r="K6" s="141"/>
      <c r="L6" s="142"/>
    </row>
    <row r="7" spans="1:12">
      <c r="A7" s="20"/>
      <c r="B7" s="105"/>
      <c r="C7" s="106"/>
      <c r="D7" s="106"/>
      <c r="E7" s="106"/>
      <c r="F7" s="107"/>
      <c r="G7" s="20"/>
      <c r="H7" s="27" t="s">
        <v>147</v>
      </c>
      <c r="I7" s="143"/>
      <c r="J7" s="143"/>
      <c r="K7" s="143"/>
      <c r="L7" s="144"/>
    </row>
    <row r="8" spans="1:12">
      <c r="A8" s="20"/>
      <c r="B8" s="105"/>
      <c r="C8" s="106"/>
      <c r="D8" s="106"/>
      <c r="E8" s="106"/>
      <c r="F8" s="107"/>
      <c r="G8" s="20"/>
      <c r="H8" s="105" t="s">
        <v>152</v>
      </c>
      <c r="I8" s="106"/>
      <c r="J8" s="106"/>
      <c r="K8" s="106"/>
      <c r="L8" s="107"/>
    </row>
    <row r="9" spans="1:12" ht="16.5" customHeight="1">
      <c r="A9" s="20"/>
      <c r="B9" s="105"/>
      <c r="C9" s="106"/>
      <c r="D9" s="106"/>
      <c r="E9" s="106"/>
      <c r="F9" s="107"/>
      <c r="G9" s="20"/>
      <c r="H9" s="105"/>
      <c r="I9" s="106"/>
      <c r="J9" s="106"/>
      <c r="K9" s="106"/>
      <c r="L9" s="107"/>
    </row>
    <row r="10" spans="1:12">
      <c r="A10" s="20"/>
      <c r="B10" s="105"/>
      <c r="C10" s="106"/>
      <c r="D10" s="106"/>
      <c r="E10" s="106"/>
      <c r="F10" s="107"/>
      <c r="G10" s="20"/>
      <c r="H10" s="105"/>
      <c r="I10" s="106"/>
      <c r="J10" s="106"/>
      <c r="K10" s="106"/>
      <c r="L10" s="107"/>
    </row>
    <row r="11" spans="1:12">
      <c r="A11" s="20"/>
      <c r="B11" s="105"/>
      <c r="C11" s="106"/>
      <c r="D11" s="106"/>
      <c r="E11" s="106"/>
      <c r="F11" s="107"/>
      <c r="G11" s="20"/>
      <c r="H11" s="105"/>
      <c r="I11" s="106"/>
      <c r="J11" s="106"/>
      <c r="K11" s="106"/>
      <c r="L11" s="107"/>
    </row>
    <row r="12" spans="1:12">
      <c r="A12" s="20"/>
      <c r="B12" s="105"/>
      <c r="C12" s="106"/>
      <c r="D12" s="106"/>
      <c r="E12" s="106"/>
      <c r="F12" s="107"/>
      <c r="G12" s="20"/>
      <c r="H12" s="105"/>
      <c r="I12" s="106"/>
      <c r="J12" s="106"/>
      <c r="K12" s="106"/>
      <c r="L12" s="107"/>
    </row>
    <row r="13" spans="1:12" ht="17.25" thickBot="1">
      <c r="A13" s="20"/>
      <c r="B13" s="105"/>
      <c r="C13" s="106"/>
      <c r="D13" s="106"/>
      <c r="E13" s="106"/>
      <c r="F13" s="107"/>
      <c r="G13" s="20"/>
      <c r="H13" s="137"/>
      <c r="I13" s="138"/>
      <c r="J13" s="138"/>
      <c r="K13" s="138"/>
      <c r="L13" s="139"/>
    </row>
    <row r="14" spans="1:12">
      <c r="A14" s="20"/>
      <c r="B14" s="108"/>
      <c r="C14" s="109"/>
      <c r="D14" s="109"/>
      <c r="E14" s="109"/>
      <c r="F14" s="110"/>
      <c r="G14" s="20"/>
      <c r="H14" s="20"/>
      <c r="I14" s="20"/>
      <c r="J14" s="20"/>
      <c r="K14" s="20"/>
      <c r="L14" s="20"/>
    </row>
    <row r="15" spans="1:12" ht="17.25" thickBot="1">
      <c r="A15" s="20"/>
      <c r="B15" s="111" t="s">
        <v>148</v>
      </c>
      <c r="C15" s="112"/>
      <c r="D15" s="112"/>
      <c r="E15" s="112"/>
      <c r="F15" s="113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45" t="s">
        <v>139</v>
      </c>
      <c r="I16" s="145"/>
      <c r="J16" s="145"/>
      <c r="K16" s="145"/>
      <c r="L16" s="145"/>
    </row>
    <row r="17" spans="1:12" ht="24" customHeight="1">
      <c r="A17" s="39">
        <f>1-0.01*I22</f>
        <v>0.95</v>
      </c>
      <c r="B17" s="42" t="s">
        <v>105</v>
      </c>
      <c r="C17" s="46" t="s">
        <v>9</v>
      </c>
      <c r="D17" s="46" t="s">
        <v>6</v>
      </c>
      <c r="E17" s="46" t="s">
        <v>37</v>
      </c>
      <c r="F17" s="88" t="s">
        <v>141</v>
      </c>
      <c r="G17" s="48"/>
      <c r="H17" s="120" t="s">
        <v>140</v>
      </c>
      <c r="I17" s="121"/>
      <c r="J17" s="121"/>
      <c r="K17" s="121"/>
      <c r="L17" s="121"/>
    </row>
    <row r="18" spans="1:12" ht="24" customHeight="1" thickBot="1">
      <c r="A18" s="20"/>
      <c r="B18" s="43" t="s">
        <v>98</v>
      </c>
      <c r="C18" s="41" t="str">
        <f>INDEX(제작리스트!B:B,검색!$G$18)</f>
        <v>제작</v>
      </c>
      <c r="D18" s="47" t="str">
        <f>INDEX(제작리스트!C:C,검색!$G$18)</f>
        <v/>
      </c>
      <c r="E18" s="47">
        <f>INDEX(제작리스트!E:E,검색!$G$18)</f>
        <v>4.666666666666667</v>
      </c>
      <c r="F18" s="51" t="e">
        <f>INDEX(제작리스트!P:P,검색!$G$18)</f>
        <v>#VALUE!</v>
      </c>
      <c r="G18" s="89">
        <f>MATCH(B18,제작리스트!A:A,0)</f>
        <v>204</v>
      </c>
      <c r="H18" s="121"/>
      <c r="I18" s="121"/>
      <c r="J18" s="121"/>
      <c r="K18" s="121"/>
      <c r="L18" s="121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21"/>
      <c r="I19" s="121"/>
      <c r="J19" s="121"/>
      <c r="K19" s="121"/>
      <c r="L19" s="121"/>
    </row>
    <row r="20" spans="1:12" ht="17.25" thickBot="1">
      <c r="A20" s="20"/>
      <c r="B20" s="133" t="s">
        <v>142</v>
      </c>
      <c r="C20" s="133"/>
      <c r="D20" s="134" t="s">
        <v>138</v>
      </c>
      <c r="E20" s="135"/>
      <c r="F20" s="136"/>
      <c r="G20" s="53"/>
      <c r="H20" s="25"/>
      <c r="I20" s="69" t="s">
        <v>132</v>
      </c>
      <c r="J20" s="63" t="s">
        <v>133</v>
      </c>
      <c r="K20" s="63" t="s">
        <v>134</v>
      </c>
      <c r="L20" s="61" t="s">
        <v>136</v>
      </c>
    </row>
    <row r="21" spans="1:12">
      <c r="A21" s="20"/>
      <c r="B21" s="22" t="s">
        <v>80</v>
      </c>
      <c r="C21" s="52" t="e">
        <f>INDEX(제작리스트!A:A,G21)</f>
        <v>#VALUE!</v>
      </c>
      <c r="D21" s="117" t="e">
        <f>INDEX(제작리스트!P:P,G21)</f>
        <v>#VALUE!</v>
      </c>
      <c r="E21" s="118"/>
      <c r="F21" s="119"/>
      <c r="G21" s="62" t="e">
        <f>MATCH(LARGE(제작리스트!P:P,1),제작리스트!P:P,0)</f>
        <v>#VALUE!</v>
      </c>
      <c r="H21" s="70" t="s">
        <v>112</v>
      </c>
      <c r="I21" s="68">
        <v>5</v>
      </c>
      <c r="J21" s="83">
        <v>5.25</v>
      </c>
      <c r="K21" s="83">
        <v>5</v>
      </c>
      <c r="L21" s="84">
        <v>5</v>
      </c>
    </row>
    <row r="22" spans="1:12">
      <c r="A22" s="20"/>
      <c r="B22" s="49" t="s">
        <v>143</v>
      </c>
      <c r="C22" s="86" t="e">
        <f>INDEX(제작리스트!A:A,G22)</f>
        <v>#VALUE!</v>
      </c>
      <c r="D22" s="124" t="e">
        <f>INDEX(제작리스트!P:P,G22)</f>
        <v>#VALUE!</v>
      </c>
      <c r="E22" s="125"/>
      <c r="F22" s="126"/>
      <c r="G22" s="62" t="e">
        <f>MATCH(LARGE(제작리스트!P:P,2),제작리스트!P:P,0)</f>
        <v>#VALUE!</v>
      </c>
      <c r="H22" s="71" t="s">
        <v>113</v>
      </c>
      <c r="I22" s="66">
        <v>5</v>
      </c>
      <c r="J22" s="64">
        <v>9</v>
      </c>
      <c r="K22" s="64">
        <v>5</v>
      </c>
      <c r="L22" s="44">
        <v>7</v>
      </c>
    </row>
    <row r="23" spans="1:12" ht="17.25" thickBot="1">
      <c r="A23" s="20"/>
      <c r="B23" s="50" t="s">
        <v>144</v>
      </c>
      <c r="C23" s="87" t="e">
        <f>INDEX(제작리스트!A:A,G23)</f>
        <v>#VALUE!</v>
      </c>
      <c r="D23" s="127" t="e">
        <f>INDEX(제작리스트!P:P,G23)</f>
        <v>#VALUE!</v>
      </c>
      <c r="E23" s="128"/>
      <c r="F23" s="129"/>
      <c r="G23" s="62" t="e">
        <f>MATCH(LARGE(제작리스트!P:P,3),제작리스트!P:P,0)</f>
        <v>#VALUE!</v>
      </c>
      <c r="H23" s="72" t="s">
        <v>114</v>
      </c>
      <c r="I23" s="67">
        <v>6.5</v>
      </c>
      <c r="J23" s="65">
        <v>6.5</v>
      </c>
      <c r="K23" s="65">
        <v>6.5</v>
      </c>
      <c r="L23" s="45">
        <v>6.5</v>
      </c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30" t="s">
        <v>104</v>
      </c>
      <c r="C25" s="131"/>
      <c r="D25" s="131"/>
      <c r="E25" s="131"/>
      <c r="F25" s="132"/>
      <c r="G25" s="53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97" t="s">
        <v>68</v>
      </c>
      <c r="D26" s="98"/>
      <c r="E26" s="97" t="s">
        <v>27</v>
      </c>
      <c r="F26" s="116"/>
      <c r="G26" s="53"/>
      <c r="H26" s="20"/>
      <c r="I26" s="20"/>
      <c r="J26" s="20"/>
      <c r="K26" s="20"/>
      <c r="L26" s="20"/>
    </row>
    <row r="27" spans="1:12">
      <c r="A27" s="20"/>
      <c r="B27" s="27" t="s">
        <v>38</v>
      </c>
      <c r="C27" s="97" t="s">
        <v>65</v>
      </c>
      <c r="D27" s="98"/>
      <c r="E27" s="97" t="s">
        <v>23</v>
      </c>
      <c r="F27" s="116"/>
      <c r="G27" s="53"/>
      <c r="H27" s="20"/>
      <c r="I27" s="20"/>
      <c r="J27" s="20"/>
      <c r="K27" s="20"/>
      <c r="L27" s="20"/>
    </row>
    <row r="28" spans="1:12">
      <c r="A28" s="20"/>
      <c r="B28" s="27" t="s">
        <v>7</v>
      </c>
      <c r="C28" s="97" t="s">
        <v>64</v>
      </c>
      <c r="D28" s="98"/>
      <c r="E28" s="97" t="s">
        <v>30</v>
      </c>
      <c r="F28" s="116"/>
      <c r="G28" s="53"/>
      <c r="H28" s="20"/>
      <c r="I28" s="20"/>
      <c r="J28" s="20"/>
      <c r="K28" s="20"/>
      <c r="L28" s="20"/>
    </row>
    <row r="29" spans="1:12">
      <c r="A29" s="20"/>
      <c r="B29" s="27" t="s">
        <v>10</v>
      </c>
      <c r="C29" s="97" t="s">
        <v>66</v>
      </c>
      <c r="D29" s="98"/>
      <c r="E29" s="97" t="s">
        <v>35</v>
      </c>
      <c r="F29" s="116"/>
      <c r="G29" s="53"/>
      <c r="H29" s="20"/>
      <c r="I29" s="20"/>
      <c r="J29" s="20"/>
      <c r="K29" s="20"/>
      <c r="L29" s="20"/>
    </row>
    <row r="30" spans="1:12">
      <c r="A30" s="20"/>
      <c r="B30" s="27" t="s">
        <v>17</v>
      </c>
      <c r="C30" s="97" t="s">
        <v>71</v>
      </c>
      <c r="D30" s="98"/>
      <c r="E30" s="97" t="s">
        <v>34</v>
      </c>
      <c r="F30" s="116"/>
      <c r="G30" s="53"/>
      <c r="H30" s="20"/>
      <c r="I30" s="20"/>
      <c r="J30" s="20"/>
      <c r="K30" s="20"/>
      <c r="L30" s="20"/>
    </row>
    <row r="31" spans="1:12">
      <c r="A31" s="20"/>
      <c r="B31" s="27" t="s">
        <v>45</v>
      </c>
      <c r="C31" s="97" t="s">
        <v>72</v>
      </c>
      <c r="D31" s="98"/>
      <c r="E31" s="97" t="s">
        <v>36</v>
      </c>
      <c r="F31" s="116"/>
      <c r="G31" s="53"/>
      <c r="H31" s="20"/>
      <c r="I31" s="20"/>
      <c r="J31" s="20"/>
      <c r="K31" s="20"/>
      <c r="L31" s="20"/>
    </row>
    <row r="32" spans="1:12">
      <c r="A32" s="20"/>
      <c r="B32" s="27" t="s">
        <v>47</v>
      </c>
      <c r="C32" s="97" t="s">
        <v>73</v>
      </c>
      <c r="D32" s="98"/>
      <c r="E32" s="97" t="s">
        <v>125</v>
      </c>
      <c r="F32" s="116"/>
      <c r="G32" s="53"/>
      <c r="H32" s="20"/>
      <c r="I32" s="20"/>
      <c r="J32" s="20"/>
      <c r="K32" s="20"/>
      <c r="L32" s="20"/>
    </row>
    <row r="33" spans="1:12">
      <c r="A33" s="20"/>
      <c r="B33" s="27" t="s">
        <v>49</v>
      </c>
      <c r="C33" s="97" t="s">
        <v>55</v>
      </c>
      <c r="D33" s="98"/>
      <c r="E33" s="97" t="s">
        <v>126</v>
      </c>
      <c r="F33" s="116"/>
      <c r="G33" s="53"/>
      <c r="H33" s="20"/>
      <c r="I33" s="20"/>
      <c r="J33" s="20"/>
      <c r="K33" s="20"/>
      <c r="L33" s="20"/>
    </row>
    <row r="34" spans="1:12">
      <c r="A34" s="20"/>
      <c r="B34" s="27" t="s">
        <v>56</v>
      </c>
      <c r="C34" s="97" t="s">
        <v>54</v>
      </c>
      <c r="D34" s="98"/>
      <c r="E34" s="97" t="s">
        <v>127</v>
      </c>
      <c r="F34" s="116"/>
      <c r="G34" s="53"/>
      <c r="H34" s="20"/>
      <c r="I34" s="20"/>
      <c r="J34" s="20"/>
      <c r="K34" s="20"/>
      <c r="L34" s="20"/>
    </row>
    <row r="35" spans="1:12">
      <c r="A35" s="20"/>
      <c r="B35" s="27" t="s">
        <v>51</v>
      </c>
      <c r="C35" s="97" t="s">
        <v>53</v>
      </c>
      <c r="D35" s="98"/>
      <c r="E35" s="97" t="s">
        <v>59</v>
      </c>
      <c r="F35" s="116"/>
      <c r="G35" s="53"/>
      <c r="H35" s="26"/>
      <c r="I35" s="60"/>
      <c r="J35" s="20"/>
      <c r="K35" s="20"/>
      <c r="L35" s="20"/>
    </row>
    <row r="36" spans="1:12">
      <c r="A36" s="20"/>
      <c r="B36" s="27" t="s">
        <v>52</v>
      </c>
      <c r="C36" s="97" t="s">
        <v>50</v>
      </c>
      <c r="D36" s="98"/>
      <c r="E36" s="97"/>
      <c r="F36" s="116"/>
      <c r="G36" s="53"/>
      <c r="H36" s="26"/>
      <c r="I36" s="60"/>
      <c r="J36" s="20"/>
      <c r="K36" s="20"/>
      <c r="L36" s="20"/>
    </row>
    <row r="37" spans="1:12">
      <c r="A37" s="20"/>
      <c r="B37" s="27" t="s">
        <v>58</v>
      </c>
      <c r="C37" s="97" t="s">
        <v>67</v>
      </c>
      <c r="D37" s="98"/>
      <c r="E37" s="114"/>
      <c r="F37" s="115"/>
      <c r="G37" s="53"/>
      <c r="H37" s="26"/>
      <c r="I37" s="60"/>
      <c r="J37" s="20"/>
      <c r="K37" s="20"/>
      <c r="L37" s="20"/>
    </row>
    <row r="38" spans="1:12">
      <c r="A38" s="20"/>
      <c r="B38" s="27" t="s">
        <v>69</v>
      </c>
      <c r="C38" s="97" t="s">
        <v>91</v>
      </c>
      <c r="D38" s="98"/>
      <c r="E38" s="114"/>
      <c r="F38" s="115"/>
      <c r="G38" s="53"/>
      <c r="H38" s="26"/>
      <c r="I38" s="60"/>
      <c r="J38" s="20"/>
      <c r="K38" s="20"/>
      <c r="L38" s="20"/>
    </row>
    <row r="39" spans="1:12">
      <c r="A39" s="20"/>
      <c r="B39" s="27" t="s">
        <v>99</v>
      </c>
      <c r="C39" s="97" t="s">
        <v>92</v>
      </c>
      <c r="D39" s="98"/>
      <c r="E39" s="114"/>
      <c r="F39" s="115"/>
      <c r="G39" s="20"/>
      <c r="H39" s="26"/>
      <c r="I39" s="20"/>
      <c r="J39" s="20"/>
      <c r="K39" s="20"/>
      <c r="L39" s="20"/>
    </row>
    <row r="40" spans="1:12">
      <c r="A40" s="20"/>
      <c r="B40" s="27" t="s">
        <v>103</v>
      </c>
      <c r="C40" s="97" t="s">
        <v>63</v>
      </c>
      <c r="D40" s="98"/>
      <c r="E40" s="114"/>
      <c r="F40" s="115"/>
      <c r="G40" s="53"/>
      <c r="H40" s="20"/>
      <c r="I40" s="20"/>
      <c r="J40" s="20"/>
      <c r="K40" s="20"/>
      <c r="L40" s="20"/>
    </row>
    <row r="41" spans="1:12">
      <c r="A41" s="20"/>
      <c r="B41" s="27" t="s">
        <v>120</v>
      </c>
      <c r="C41" s="97" t="s">
        <v>70</v>
      </c>
      <c r="D41" s="98"/>
      <c r="E41" s="114"/>
      <c r="F41" s="115"/>
      <c r="G41" s="53"/>
      <c r="H41" s="20"/>
      <c r="I41" s="20"/>
      <c r="J41" s="20"/>
      <c r="K41" s="20"/>
      <c r="L41" s="20"/>
    </row>
    <row r="42" spans="1:12">
      <c r="A42" s="20"/>
      <c r="B42" s="27" t="s">
        <v>123</v>
      </c>
      <c r="C42" s="97" t="s">
        <v>75</v>
      </c>
      <c r="D42" s="98"/>
      <c r="E42" s="114"/>
      <c r="F42" s="115"/>
      <c r="G42" s="53"/>
      <c r="H42" s="20"/>
      <c r="I42" s="20"/>
      <c r="J42" s="20"/>
      <c r="K42" s="20"/>
      <c r="L42" s="20"/>
    </row>
    <row r="43" spans="1:12" ht="17.25" thickBot="1">
      <c r="A43" s="20"/>
      <c r="B43" s="85" t="s">
        <v>124</v>
      </c>
      <c r="C43" s="100" t="s">
        <v>74</v>
      </c>
      <c r="D43" s="101"/>
      <c r="E43" s="122"/>
      <c r="F43" s="123"/>
      <c r="G43" s="53"/>
      <c r="H43" s="20"/>
      <c r="I43" s="20"/>
      <c r="J43" s="20"/>
      <c r="K43" s="20"/>
      <c r="L43" s="20"/>
    </row>
    <row r="44" spans="1:12">
      <c r="A44" s="20"/>
      <c r="B44" s="28" t="s">
        <v>68</v>
      </c>
      <c r="C44" s="60"/>
      <c r="D44" s="60"/>
      <c r="E44" s="25"/>
      <c r="F44" s="60"/>
      <c r="G44" s="53"/>
      <c r="H44" s="20"/>
      <c r="I44" s="20"/>
      <c r="J44" s="20"/>
      <c r="K44" s="20"/>
      <c r="L44" s="20"/>
    </row>
    <row r="45" spans="1:12">
      <c r="A45" s="20"/>
      <c r="B45" s="28" t="s">
        <v>65</v>
      </c>
      <c r="C45" s="60"/>
      <c r="D45" s="60"/>
      <c r="E45" s="25"/>
      <c r="F45" s="60"/>
      <c r="G45" s="53"/>
      <c r="H45" s="20"/>
      <c r="I45" s="20"/>
      <c r="J45" s="20"/>
      <c r="K45" s="20"/>
      <c r="L45" s="20"/>
    </row>
    <row r="46" spans="1:12" hidden="1">
      <c r="A46" s="20"/>
      <c r="B46" s="28" t="s">
        <v>64</v>
      </c>
      <c r="C46" s="60"/>
      <c r="D46" s="60"/>
      <c r="E46" s="25"/>
      <c r="F46" s="60"/>
      <c r="G46" s="53"/>
      <c r="H46" s="20"/>
      <c r="I46" s="20"/>
      <c r="J46" s="20"/>
      <c r="K46" s="20"/>
      <c r="L46" s="20"/>
    </row>
    <row r="47" spans="1:12" hidden="1">
      <c r="A47" s="20"/>
      <c r="B47" s="28" t="s">
        <v>66</v>
      </c>
      <c r="C47" s="99"/>
      <c r="D47" s="99"/>
      <c r="E47" s="25"/>
      <c r="F47" s="60"/>
      <c r="G47" s="53"/>
      <c r="H47" s="20"/>
      <c r="I47" s="20"/>
      <c r="J47" s="20"/>
      <c r="K47" s="20"/>
      <c r="L47" s="20"/>
    </row>
    <row r="48" spans="1:12" hidden="1">
      <c r="A48" s="20"/>
      <c r="B48" s="28" t="s">
        <v>71</v>
      </c>
      <c r="C48" s="25"/>
      <c r="D48" s="60"/>
      <c r="E48" s="25"/>
      <c r="F48" s="60"/>
      <c r="G48" s="53"/>
      <c r="H48" s="20"/>
      <c r="I48" s="20"/>
      <c r="J48" s="20"/>
      <c r="K48" s="20"/>
      <c r="L48" s="20"/>
    </row>
    <row r="49" spans="1:12" hidden="1">
      <c r="A49" s="20"/>
      <c r="B49" s="28" t="s">
        <v>72</v>
      </c>
      <c r="C49" s="25"/>
      <c r="D49" s="60"/>
      <c r="E49" s="25"/>
      <c r="F49" s="60"/>
      <c r="G49" s="53"/>
      <c r="H49" s="20"/>
      <c r="I49" s="20"/>
      <c r="J49" s="20"/>
      <c r="K49" s="20"/>
      <c r="L49" s="20"/>
    </row>
    <row r="50" spans="1:12" hidden="1">
      <c r="A50" s="20"/>
      <c r="B50" s="28" t="s">
        <v>73</v>
      </c>
      <c r="C50" s="25"/>
      <c r="D50" s="60"/>
      <c r="E50" s="25"/>
      <c r="F50" s="60"/>
      <c r="G50" s="53"/>
      <c r="H50" s="20"/>
      <c r="I50" s="20"/>
      <c r="J50" s="20"/>
      <c r="K50" s="20"/>
      <c r="L50" s="20"/>
    </row>
    <row r="51" spans="1:12" hidden="1">
      <c r="A51" s="20"/>
      <c r="B51" s="28" t="s">
        <v>55</v>
      </c>
      <c r="C51" s="25"/>
      <c r="D51" s="60"/>
      <c r="E51" s="25"/>
      <c r="F51" s="60"/>
      <c r="G51" s="53"/>
      <c r="H51" s="20"/>
      <c r="I51" s="20"/>
      <c r="J51" s="20"/>
      <c r="K51" s="20"/>
      <c r="L51" s="20"/>
    </row>
    <row r="52" spans="1:12" hidden="1">
      <c r="A52" s="20"/>
      <c r="B52" s="28" t="s">
        <v>54</v>
      </c>
      <c r="C52" s="25"/>
      <c r="D52" s="60"/>
      <c r="E52" s="25"/>
      <c r="F52" s="26"/>
      <c r="G52" s="53"/>
      <c r="H52" s="20"/>
      <c r="I52" s="20"/>
      <c r="J52" s="20"/>
      <c r="K52" s="20"/>
      <c r="L52" s="20"/>
    </row>
    <row r="53" spans="1:12" hidden="1">
      <c r="A53" s="20"/>
      <c r="B53" s="28" t="s">
        <v>53</v>
      </c>
      <c r="C53" s="25"/>
      <c r="D53" s="60"/>
      <c r="E53" s="25"/>
      <c r="F53" s="26"/>
      <c r="G53" s="53"/>
      <c r="H53" s="20"/>
      <c r="I53" s="20"/>
      <c r="J53" s="20"/>
      <c r="K53" s="20"/>
      <c r="L53" s="20"/>
    </row>
    <row r="54" spans="1:12" hidden="1">
      <c r="A54" s="20"/>
      <c r="B54" s="28" t="s">
        <v>50</v>
      </c>
      <c r="C54" s="25"/>
      <c r="D54" s="60"/>
      <c r="E54" s="25"/>
      <c r="F54" s="26"/>
      <c r="G54" s="53"/>
      <c r="H54" s="20"/>
      <c r="I54" s="20"/>
      <c r="J54" s="20"/>
      <c r="K54" s="20"/>
      <c r="L54" s="20"/>
    </row>
    <row r="55" spans="1:12" hidden="1">
      <c r="A55" s="20"/>
      <c r="B55" s="28" t="s">
        <v>67</v>
      </c>
      <c r="C55" s="25"/>
      <c r="D55" s="60"/>
      <c r="E55" s="25"/>
      <c r="F55" s="26"/>
      <c r="G55" s="53"/>
      <c r="H55" s="20"/>
      <c r="I55" s="20"/>
      <c r="J55" s="20"/>
      <c r="K55" s="20"/>
      <c r="L55" s="20"/>
    </row>
    <row r="56" spans="1:12" hidden="1">
      <c r="A56" s="20"/>
      <c r="B56" s="28" t="s">
        <v>91</v>
      </c>
      <c r="C56" s="25"/>
      <c r="D56" s="60"/>
      <c r="E56" s="25"/>
      <c r="F56" s="26"/>
      <c r="G56" s="53"/>
      <c r="H56" s="20"/>
      <c r="I56" s="20"/>
      <c r="J56" s="20"/>
      <c r="K56" s="20"/>
      <c r="L56" s="20"/>
    </row>
    <row r="57" spans="1:12" hidden="1">
      <c r="A57" s="20"/>
      <c r="B57" s="28" t="s">
        <v>92</v>
      </c>
      <c r="C57" s="25"/>
      <c r="D57" s="60"/>
      <c r="E57" s="25"/>
      <c r="F57" s="26"/>
      <c r="G57" s="53"/>
      <c r="H57" s="20"/>
      <c r="I57" s="20"/>
      <c r="J57" s="20"/>
      <c r="K57" s="20"/>
      <c r="L57" s="20"/>
    </row>
    <row r="58" spans="1:12" hidden="1">
      <c r="A58" s="20"/>
      <c r="B58" s="28" t="s">
        <v>63</v>
      </c>
      <c r="C58" s="25"/>
      <c r="D58" s="60"/>
      <c r="E58" s="25"/>
      <c r="F58" s="26"/>
      <c r="G58" s="53"/>
      <c r="H58" s="20"/>
      <c r="I58" s="20"/>
      <c r="J58" s="20"/>
      <c r="K58" s="20"/>
      <c r="L58" s="20"/>
    </row>
    <row r="59" spans="1:12" hidden="1">
      <c r="A59" s="20"/>
      <c r="B59" s="28" t="s">
        <v>70</v>
      </c>
      <c r="C59" s="25"/>
      <c r="D59" s="60"/>
      <c r="E59" s="25"/>
      <c r="F59" s="26"/>
      <c r="G59" s="53"/>
      <c r="H59" s="20"/>
      <c r="I59" s="20"/>
      <c r="J59" s="20"/>
      <c r="K59" s="20"/>
      <c r="L59" s="20"/>
    </row>
    <row r="60" spans="1:12" hidden="1">
      <c r="A60" s="20"/>
      <c r="B60" s="28" t="s">
        <v>75</v>
      </c>
      <c r="C60" s="25"/>
      <c r="D60" s="60"/>
      <c r="E60" s="25"/>
      <c r="F60" s="26"/>
      <c r="G60" s="53"/>
      <c r="H60" s="20"/>
      <c r="I60" s="20"/>
      <c r="J60" s="20"/>
      <c r="K60" s="20"/>
      <c r="L60" s="20"/>
    </row>
    <row r="61" spans="1:12" hidden="1">
      <c r="A61" s="20"/>
      <c r="B61" s="28" t="s">
        <v>74</v>
      </c>
      <c r="C61" s="25"/>
      <c r="D61" s="60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27</v>
      </c>
      <c r="C62" s="25"/>
      <c r="D62" s="60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23</v>
      </c>
      <c r="C63" s="25"/>
      <c r="D63" s="60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30</v>
      </c>
      <c r="C64" s="25"/>
      <c r="D64" s="60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35</v>
      </c>
      <c r="C65" s="25"/>
      <c r="D65" s="60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34</v>
      </c>
      <c r="C66" s="25"/>
      <c r="D66" s="60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36</v>
      </c>
      <c r="C67" s="25"/>
      <c r="D67" s="60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125</v>
      </c>
      <c r="C68" s="25"/>
      <c r="D68" s="60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126</v>
      </c>
      <c r="C69" s="25"/>
      <c r="D69" s="60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127</v>
      </c>
      <c r="C70" s="25"/>
      <c r="D70" s="60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59</v>
      </c>
      <c r="C71" s="25"/>
      <c r="D71" s="60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1">
    <mergeCell ref="H8:L13"/>
    <mergeCell ref="J5:L5"/>
    <mergeCell ref="I6:L6"/>
    <mergeCell ref="I7:L7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C35:D35"/>
    <mergeCell ref="B2:F14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47:D47"/>
    <mergeCell ref="C38:D38"/>
    <mergeCell ref="C39:D39"/>
    <mergeCell ref="C40:D40"/>
    <mergeCell ref="C41:D41"/>
    <mergeCell ref="C42:D42"/>
    <mergeCell ref="C43:D43"/>
    <mergeCell ref="C36:D36"/>
    <mergeCell ref="C37:D37"/>
    <mergeCell ref="C28:D28"/>
    <mergeCell ref="C29:D29"/>
    <mergeCell ref="C30:D30"/>
    <mergeCell ref="C31:D31"/>
    <mergeCell ref="C32:D32"/>
  </mergeCells>
  <phoneticPr fontId="1" type="noConversion"/>
  <conditionalFormatting sqref="C18">
    <cfRule type="expression" dxfId="65" priority="3">
      <formula>($C$18="구매")</formula>
    </cfRule>
    <cfRule type="expression" dxfId="64" priority="4">
      <formula>($C$18="제작")</formula>
    </cfRule>
  </conditionalFormatting>
  <conditionalFormatting sqref="F18">
    <cfRule type="cellIs" dxfId="63" priority="1" operator="lessThanOrEqual">
      <formula>0</formula>
    </cfRule>
    <cfRule type="cellIs" dxfId="62" priority="2" operator="greaterThan">
      <formula>0</formula>
    </cfRule>
  </conditionalFormatting>
  <dataValidations count="3">
    <dataValidation type="decimal" allowBlank="1" showInputMessage="1" showErrorMessage="1" error="잘못된 변수를 입력하셨습니다. (숫자만 입력해주세요. ex)5.5)" sqref="I21:L23" xr:uid="{F3DAA11B-AF02-421C-A639-6725204CC850}">
      <formula1>0</formula1>
      <formula2>100</formula2>
    </dataValidation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workbookViewId="0">
      <selection activeCell="D3" sqref="D3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3</v>
      </c>
      <c r="B1" s="2" t="s">
        <v>4</v>
      </c>
      <c r="D1" s="16" t="s">
        <v>40</v>
      </c>
      <c r="F1" s="2" t="s">
        <v>3</v>
      </c>
      <c r="G1" s="2" t="s">
        <v>4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A12" s="2" t="s">
        <v>3</v>
      </c>
      <c r="B12" s="2" t="s">
        <v>4</v>
      </c>
      <c r="D12" s="16"/>
      <c r="E12" s="3"/>
      <c r="F12" s="2" t="s">
        <v>3</v>
      </c>
      <c r="G12" s="2" t="s">
        <v>4</v>
      </c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A23" s="2" t="s">
        <v>3</v>
      </c>
      <c r="B23" s="2" t="s">
        <v>4</v>
      </c>
      <c r="D23" s="16"/>
      <c r="E23" s="3"/>
      <c r="F23" t="s">
        <v>3</v>
      </c>
      <c r="G23" s="2" t="s">
        <v>4</v>
      </c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 t="s">
        <v>3</v>
      </c>
      <c r="B34" s="2" t="s">
        <v>4</v>
      </c>
      <c r="D34" s="16"/>
      <c r="F34" s="2" t="s">
        <v>3</v>
      </c>
      <c r="G34" s="2" t="s">
        <v>4</v>
      </c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5" spans="1:7">
      <c r="F45" s="2" t="s">
        <v>3</v>
      </c>
      <c r="G45" s="2" t="s">
        <v>4</v>
      </c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6" spans="6:7">
      <c r="F56" s="2" t="s">
        <v>3</v>
      </c>
      <c r="G56" s="2" t="s">
        <v>4</v>
      </c>
    </row>
    <row r="57" spans="6:7" ht="17.25" customHeight="1">
      <c r="F57" s="3"/>
    </row>
    <row r="58" spans="6:7">
      <c r="F58" s="3"/>
    </row>
    <row r="59" spans="6:7">
      <c r="F59" s="3"/>
    </row>
    <row r="60" spans="6:7">
      <c r="F60" s="2" t="s">
        <v>3</v>
      </c>
      <c r="G60" s="2" t="s">
        <v>4</v>
      </c>
    </row>
    <row r="61" spans="6:7">
      <c r="F61" s="3" t="s">
        <v>21</v>
      </c>
    </row>
    <row r="62" spans="6:7">
      <c r="F62" s="3" t="s">
        <v>22</v>
      </c>
    </row>
    <row r="63" spans="6:7">
      <c r="F63" s="3" t="s">
        <v>118</v>
      </c>
    </row>
    <row r="64" spans="6:7">
      <c r="F64" s="2" t="s">
        <v>3</v>
      </c>
      <c r="G64" s="2" t="s">
        <v>4</v>
      </c>
    </row>
    <row r="65" spans="6:17">
      <c r="F65" s="3"/>
      <c r="G65"/>
    </row>
    <row r="66" spans="6:17">
      <c r="F66" s="2" t="s">
        <v>3</v>
      </c>
      <c r="G66" s="2" t="s">
        <v>4</v>
      </c>
      <c r="L66" s="5"/>
      <c r="M66" s="5"/>
      <c r="N66" s="5"/>
      <c r="O66" s="5"/>
      <c r="P66" s="5"/>
      <c r="Q66" s="5"/>
    </row>
    <row r="67" spans="6:17">
      <c r="F67" s="3" t="s">
        <v>76</v>
      </c>
      <c r="G67"/>
      <c r="L67" s="5"/>
      <c r="M67" s="5"/>
      <c r="N67" s="5"/>
      <c r="O67" s="5"/>
      <c r="P67" s="5"/>
      <c r="Q67" s="5"/>
    </row>
    <row r="68" spans="6:17">
      <c r="F68" s="3" t="s">
        <v>3</v>
      </c>
      <c r="G68" t="s">
        <v>4</v>
      </c>
      <c r="L68" s="5"/>
      <c r="M68" s="5"/>
      <c r="N68" s="5"/>
      <c r="O68" s="5"/>
      <c r="P68" s="5"/>
      <c r="Q68" s="5"/>
    </row>
    <row r="69" spans="6:17">
      <c r="F69" s="3" t="s">
        <v>119</v>
      </c>
      <c r="L69" s="5"/>
      <c r="M69" s="5"/>
      <c r="N69" s="5"/>
      <c r="O69" s="5"/>
      <c r="P69" s="5"/>
      <c r="Q69" s="5"/>
    </row>
    <row r="70" spans="6:17">
      <c r="F70" s="3" t="s">
        <v>121</v>
      </c>
      <c r="L70" s="5"/>
      <c r="M70" s="5"/>
      <c r="N70" s="5"/>
      <c r="O70" s="5"/>
      <c r="P70" s="5"/>
      <c r="Q70" s="5"/>
    </row>
    <row r="71" spans="6:17">
      <c r="F71" s="3" t="s">
        <v>122</v>
      </c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27</v>
      </c>
      <c r="G84" s="2">
        <f>VLOOKUP("하급 오레하 융화 재료",F:G,2,FALSE)</f>
        <v>0</v>
      </c>
    </row>
    <row r="85" spans="2:17">
      <c r="F85" s="2" t="s">
        <v>23</v>
      </c>
      <c r="G85" s="2">
        <f>VLOOKUP("하급 오레하 융화 재료",F:G,2,FALSE)</f>
        <v>0</v>
      </c>
    </row>
    <row r="86" spans="2:17">
      <c r="F86" s="2" t="s">
        <v>30</v>
      </c>
      <c r="G86" s="2">
        <f>VLOOKUP("하급 오레하 융화 재료",F:G,2,FALSE)</f>
        <v>0</v>
      </c>
    </row>
    <row r="87" spans="2:17">
      <c r="F87" s="2" t="s">
        <v>60</v>
      </c>
      <c r="G87" s="2">
        <f>VLOOKUP("중급 오레하 융화 재료",F:G,2,FALSE)</f>
        <v>0</v>
      </c>
    </row>
    <row r="88" spans="2:17">
      <c r="F88" s="2" t="s">
        <v>61</v>
      </c>
      <c r="G88" s="2">
        <f>VLOOKUP("중급 오레하 융화 재료",F:G,2,FALSE)</f>
        <v>0</v>
      </c>
    </row>
    <row r="89" spans="2:17">
      <c r="F89" s="2" t="s">
        <v>62</v>
      </c>
      <c r="G89" s="2">
        <f>VLOOKUP("중급 오레하 융화 재료",F:G,2,FALSE)</f>
        <v>0</v>
      </c>
    </row>
    <row r="90" spans="2:17">
      <c r="F90" s="2" t="s">
        <v>125</v>
      </c>
      <c r="G90" s="2">
        <f>VLOOKUP("상급 오레하 융화 재료",F:G,2,FALSE)</f>
        <v>0</v>
      </c>
    </row>
    <row r="91" spans="2:17">
      <c r="F91" s="2" t="s">
        <v>126</v>
      </c>
      <c r="G91" s="2">
        <f>VLOOKUP("상급 오레하 융화 재료",F:G,2,FALSE)</f>
        <v>0</v>
      </c>
    </row>
    <row r="92" spans="2:17">
      <c r="F92" s="2" t="s">
        <v>127</v>
      </c>
      <c r="G92" s="2">
        <f>VLOOKUP("상급 오레하 융화 재료",F:G,2,FALSE)</f>
        <v>0</v>
      </c>
    </row>
    <row r="99" spans="6:7">
      <c r="F99" s="2" t="s">
        <v>99</v>
      </c>
      <c r="G99" s="2" t="e">
        <f>VLOOKUP("빛나는 정령의 회복약",F:G,2,FALSE)</f>
        <v>#N/A</v>
      </c>
    </row>
    <row r="100" spans="6:7">
      <c r="F100" s="2" t="s">
        <v>100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96" activePane="bottomRight" state="frozen"/>
      <selection pane="topRight" activeCell="B1" sqref="B1"/>
      <selection pane="bottomLeft" activeCell="A2" sqref="A2"/>
      <selection pane="bottomRight" activeCell="H108" sqref="H108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39</v>
      </c>
      <c r="B1" s="33" t="s">
        <v>9</v>
      </c>
      <c r="C1" s="33" t="s">
        <v>6</v>
      </c>
      <c r="D1" s="33" t="s">
        <v>117</v>
      </c>
      <c r="E1" s="34" t="s">
        <v>15</v>
      </c>
      <c r="F1" s="33" t="s">
        <v>5</v>
      </c>
      <c r="G1" s="33" t="s">
        <v>110</v>
      </c>
      <c r="H1" s="33" t="s">
        <v>111</v>
      </c>
      <c r="I1" s="33" t="s">
        <v>16</v>
      </c>
      <c r="J1" s="33" t="s">
        <v>108</v>
      </c>
      <c r="K1" s="33" t="s">
        <v>115</v>
      </c>
      <c r="L1" s="33" t="s">
        <v>20</v>
      </c>
      <c r="M1" s="33" t="s">
        <v>106</v>
      </c>
      <c r="N1" s="33" t="s">
        <v>107</v>
      </c>
      <c r="O1" s="35" t="s">
        <v>116</v>
      </c>
      <c r="P1" s="5" t="s">
        <v>137</v>
      </c>
      <c r="Q1" s="1" t="s">
        <v>135</v>
      </c>
    </row>
    <row r="2" spans="1:17">
      <c r="A2" s="157" t="s">
        <v>2</v>
      </c>
      <c r="B2" s="160" t="str">
        <f t="shared" ref="B2:B32" si="0">IFERROR(IF(ISBLANK(A2),"",IF(C2&gt;E2,"제작","구매")),"")</f>
        <v>제작</v>
      </c>
      <c r="C2" s="163" t="str">
        <f>IFERROR(VLOOKUP(A2,'거래소 최저가'!F:G,2,FALSE),"")</f>
        <v/>
      </c>
      <c r="D2" s="163" t="str">
        <f t="shared" ref="D2:D61" si="1">IFERROR(INT(C2*0.05)+1,"")</f>
        <v/>
      </c>
      <c r="E2" s="166">
        <f t="shared" ref="E2:E32" si="2">IFERROR(IF(ISBLANK(A2),"",I2/L2),"")</f>
        <v>0.19599999999991269</v>
      </c>
      <c r="F2" s="90" t="s">
        <v>0</v>
      </c>
      <c r="G2" s="90">
        <v>35</v>
      </c>
      <c r="H2" s="90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63">
        <f>IF(ISBLANK(A2),"",SUM(H2:H$207)-SUM(I3:I$207))</f>
        <v>0.58799999999973807</v>
      </c>
      <c r="J2" s="163">
        <v>1</v>
      </c>
      <c r="K2" s="163">
        <f>IF(J2=1,1,INT(J2*(1-IF(Q2="배틀아이템",검색!$I$23,IF(Q2="요리",검색!$J$23,IF(Q2="특수",검색!$K$23,IF(Q2="생활도구",검색!$L$23))))*0.01)))</f>
        <v>1</v>
      </c>
      <c r="L2" s="163">
        <v>3</v>
      </c>
      <c r="M2" s="163">
        <f>L2*(1+0.01*IF(Q2="배틀아이템",검색!$I$21,IF(Q2="요리",검색!$J$21,IF(Q2="특수",검색!$K$21,IF(Q2="생활도구",검색!$L$21)))))</f>
        <v>3.1500000000000004</v>
      </c>
      <c r="N2" s="163" t="str">
        <f t="shared" ref="N2:N61" si="3">IFERROR((((C2-D2)*M2-I2)/K2),"")</f>
        <v/>
      </c>
      <c r="O2" s="149" t="e">
        <f t="shared" ref="O2:O32" si="4">N2*10000</f>
        <v>#VALUE!</v>
      </c>
      <c r="P2" s="146" t="e">
        <f t="shared" ref="P2:P61" si="5">((C2-D2-1)*M2-I2)/K2*10000</f>
        <v>#VALUE!</v>
      </c>
      <c r="Q2" s="79" t="s">
        <v>132</v>
      </c>
    </row>
    <row r="3" spans="1:17">
      <c r="A3" s="158"/>
      <c r="B3" s="161"/>
      <c r="C3" s="164"/>
      <c r="D3" s="164"/>
      <c r="E3" s="167"/>
      <c r="F3" s="91" t="s">
        <v>1</v>
      </c>
      <c r="G3" s="91">
        <v>20</v>
      </c>
      <c r="H3" s="91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64"/>
      <c r="J3" s="164"/>
      <c r="K3" s="164"/>
      <c r="L3" s="164"/>
      <c r="M3" s="164"/>
      <c r="N3" s="164"/>
      <c r="O3" s="150"/>
      <c r="P3" s="147"/>
      <c r="Q3" s="80" t="s">
        <v>132</v>
      </c>
    </row>
    <row r="4" spans="1:17" s="2" customFormat="1" ht="17.25" thickBot="1">
      <c r="A4" s="169"/>
      <c r="B4" s="170"/>
      <c r="C4" s="171"/>
      <c r="D4" s="171"/>
      <c r="E4" s="172"/>
      <c r="F4" s="93" t="s">
        <v>109</v>
      </c>
      <c r="G4" s="93">
        <v>1176</v>
      </c>
      <c r="H4" s="93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71"/>
      <c r="J4" s="171"/>
      <c r="K4" s="171"/>
      <c r="L4" s="171"/>
      <c r="M4" s="171"/>
      <c r="N4" s="171"/>
      <c r="O4" s="151"/>
      <c r="P4" s="148"/>
      <c r="Q4" s="81" t="s">
        <v>131</v>
      </c>
    </row>
    <row r="5" spans="1:17">
      <c r="A5" s="157" t="s">
        <v>38</v>
      </c>
      <c r="B5" s="160" t="str">
        <f t="shared" si="0"/>
        <v>제작</v>
      </c>
      <c r="C5" s="163" t="str">
        <f>IFERROR(VLOOKUP(A5,'거래소 최저가'!F:G,2,FALSE),"")</f>
        <v/>
      </c>
      <c r="D5" s="163" t="str">
        <f t="shared" si="1"/>
        <v/>
      </c>
      <c r="E5" s="166">
        <f t="shared" si="2"/>
        <v>4.666666666666667</v>
      </c>
      <c r="F5" s="90" t="s">
        <v>11</v>
      </c>
      <c r="G5" s="90">
        <v>32</v>
      </c>
      <c r="H5" s="90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63">
        <f>IF(ISBLANK(A5),"",SUM(H5:H$207)-SUM(I6:I$207))</f>
        <v>14</v>
      </c>
      <c r="J5" s="163">
        <v>144</v>
      </c>
      <c r="K5" s="163">
        <f>IF(J5=1,1,INT(J5*(1-IF(Q5="배틀아이템",검색!$I$23,IF(Q5="요리",검색!$J$23,IF(Q5="특수",검색!$K$23,IF(Q5="생활도구",검색!$L$23))))*0.01)))</f>
        <v>134</v>
      </c>
      <c r="L5" s="163">
        <v>3</v>
      </c>
      <c r="M5" s="163">
        <f>L5*(1+0.01*IF(Q5="배틀아이템",검색!$I$21,IF(Q5="요리",검색!$J$21,IF(Q5="특수",검색!$K$21,IF(Q5="생활도구",검색!$L$21)))))</f>
        <v>3.1500000000000004</v>
      </c>
      <c r="N5" s="163" t="str">
        <f t="shared" si="3"/>
        <v/>
      </c>
      <c r="O5" s="149" t="e">
        <f t="shared" si="4"/>
        <v>#VALUE!</v>
      </c>
      <c r="P5" s="155" t="e">
        <f t="shared" si="5"/>
        <v>#VALUE!</v>
      </c>
      <c r="Q5" s="73" t="s">
        <v>132</v>
      </c>
    </row>
    <row r="6" spans="1:17">
      <c r="A6" s="158"/>
      <c r="B6" s="161"/>
      <c r="C6" s="164"/>
      <c r="D6" s="164"/>
      <c r="E6" s="167"/>
      <c r="F6" s="91" t="s">
        <v>12</v>
      </c>
      <c r="G6" s="91">
        <v>12</v>
      </c>
      <c r="H6" s="91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64"/>
      <c r="J6" s="164"/>
      <c r="K6" s="164"/>
      <c r="L6" s="164"/>
      <c r="M6" s="164"/>
      <c r="N6" s="164"/>
      <c r="O6" s="150"/>
      <c r="P6" s="147"/>
      <c r="Q6" s="74" t="s">
        <v>131</v>
      </c>
    </row>
    <row r="7" spans="1:17" s="2" customFormat="1">
      <c r="A7" s="158"/>
      <c r="B7" s="161"/>
      <c r="C7" s="164"/>
      <c r="D7" s="164"/>
      <c r="E7" s="167"/>
      <c r="F7" s="91" t="s">
        <v>13</v>
      </c>
      <c r="G7" s="91">
        <v>4</v>
      </c>
      <c r="H7" s="91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64"/>
      <c r="J7" s="164"/>
      <c r="K7" s="164"/>
      <c r="L7" s="164"/>
      <c r="M7" s="164"/>
      <c r="N7" s="164"/>
      <c r="O7" s="150"/>
      <c r="P7" s="147"/>
      <c r="Q7" s="74" t="s">
        <v>131</v>
      </c>
    </row>
    <row r="8" spans="1:17" s="2" customFormat="1">
      <c r="A8" s="158"/>
      <c r="B8" s="161"/>
      <c r="C8" s="164"/>
      <c r="D8" s="164"/>
      <c r="E8" s="167"/>
      <c r="F8" s="91" t="s">
        <v>14</v>
      </c>
      <c r="G8" s="91">
        <v>6</v>
      </c>
      <c r="H8" s="91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64"/>
      <c r="J8" s="164"/>
      <c r="K8" s="164"/>
      <c r="L8" s="164"/>
      <c r="M8" s="164"/>
      <c r="N8" s="164"/>
      <c r="O8" s="150"/>
      <c r="P8" s="147"/>
      <c r="Q8" s="74" t="s">
        <v>131</v>
      </c>
    </row>
    <row r="9" spans="1:17" s="2" customFormat="1" ht="17.25" thickBot="1">
      <c r="A9" s="159"/>
      <c r="B9" s="162"/>
      <c r="C9" s="165"/>
      <c r="D9" s="165"/>
      <c r="E9" s="168"/>
      <c r="F9" s="92" t="s">
        <v>19</v>
      </c>
      <c r="G9" s="92">
        <v>15</v>
      </c>
      <c r="H9" s="92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14</v>
      </c>
      <c r="I9" s="165"/>
      <c r="J9" s="165"/>
      <c r="K9" s="165"/>
      <c r="L9" s="165"/>
      <c r="M9" s="165"/>
      <c r="N9" s="165"/>
      <c r="O9" s="154"/>
      <c r="P9" s="156"/>
      <c r="Q9" s="76" t="s">
        <v>131</v>
      </c>
    </row>
    <row r="10" spans="1:17">
      <c r="A10" s="182" t="s">
        <v>7</v>
      </c>
      <c r="B10" s="180" t="str">
        <f t="shared" si="0"/>
        <v>제작</v>
      </c>
      <c r="C10" s="179" t="str">
        <f>IFERROR(VLOOKUP(A10,'거래소 최저가'!F:G,2,FALSE),"")</f>
        <v/>
      </c>
      <c r="D10" s="179" t="str">
        <f t="shared" si="1"/>
        <v/>
      </c>
      <c r="E10" s="181">
        <f t="shared" si="2"/>
        <v>0.19600000000006426</v>
      </c>
      <c r="F10" s="94" t="s">
        <v>0</v>
      </c>
      <c r="G10" s="94">
        <v>10</v>
      </c>
      <c r="H10" s="94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79">
        <f>IF(ISBLANK(A10),"",SUM(H10:H$207)-SUM(I11:I$207))</f>
        <v>0.58800000000019281</v>
      </c>
      <c r="J10" s="179">
        <v>1</v>
      </c>
      <c r="K10" s="179">
        <f>IF(J10=1,1,INT(J10*(1-IF(Q10="배틀아이템",검색!$I$23,IF(Q10="요리",검색!$J$23,IF(Q10="특수",검색!$K$23,IF(Q10="생활도구",검색!$L$23))))*0.01)))</f>
        <v>1</v>
      </c>
      <c r="L10" s="179">
        <v>3</v>
      </c>
      <c r="M10" s="179">
        <f>L10*(1+0.01*IF(Q10="배틀아이템",검색!$I$21,IF(Q10="요리",검색!$J$21,IF(Q10="특수",검색!$K$21,IF(Q10="생활도구",검색!$L$21)))))</f>
        <v>3.1500000000000004</v>
      </c>
      <c r="N10" s="179" t="str">
        <f t="shared" si="3"/>
        <v/>
      </c>
      <c r="O10" s="184" t="e">
        <f t="shared" si="4"/>
        <v>#VALUE!</v>
      </c>
      <c r="P10" s="146" t="e">
        <f t="shared" si="5"/>
        <v>#VALUE!</v>
      </c>
      <c r="Q10" s="73" t="s">
        <v>132</v>
      </c>
    </row>
    <row r="11" spans="1:17">
      <c r="A11" s="158"/>
      <c r="B11" s="161"/>
      <c r="C11" s="164"/>
      <c r="D11" s="164"/>
      <c r="E11" s="167"/>
      <c r="F11" s="91" t="s">
        <v>8</v>
      </c>
      <c r="G11" s="91">
        <v>5</v>
      </c>
      <c r="H11" s="91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64"/>
      <c r="J11" s="164"/>
      <c r="K11" s="164"/>
      <c r="L11" s="164"/>
      <c r="M11" s="164"/>
      <c r="N11" s="164"/>
      <c r="O11" s="150"/>
      <c r="P11" s="147"/>
      <c r="Q11" s="74" t="s">
        <v>132</v>
      </c>
    </row>
    <row r="12" spans="1:17" s="2" customFormat="1" ht="17.25" thickBot="1">
      <c r="A12" s="169"/>
      <c r="B12" s="170"/>
      <c r="C12" s="171"/>
      <c r="D12" s="171"/>
      <c r="E12" s="172"/>
      <c r="F12" s="93" t="s">
        <v>109</v>
      </c>
      <c r="G12" s="93">
        <v>1176</v>
      </c>
      <c r="H12" s="93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71"/>
      <c r="J12" s="171"/>
      <c r="K12" s="171"/>
      <c r="L12" s="171"/>
      <c r="M12" s="171"/>
      <c r="N12" s="171"/>
      <c r="O12" s="151"/>
      <c r="P12" s="156"/>
      <c r="Q12" s="76" t="s">
        <v>132</v>
      </c>
    </row>
    <row r="13" spans="1:17">
      <c r="A13" s="157" t="s">
        <v>10</v>
      </c>
      <c r="B13" s="160" t="str">
        <f t="shared" si="0"/>
        <v>제작</v>
      </c>
      <c r="C13" s="163" t="str">
        <f>IFERROR(VLOOKUP(A13,'거래소 최저가'!F:G,2,FALSE),"")</f>
        <v/>
      </c>
      <c r="D13" s="163" t="str">
        <f t="shared" si="1"/>
        <v/>
      </c>
      <c r="E13" s="166">
        <f t="shared" si="2"/>
        <v>4.666666666666667</v>
      </c>
      <c r="F13" s="90" t="s">
        <v>0</v>
      </c>
      <c r="G13" s="90">
        <v>18</v>
      </c>
      <c r="H13" s="90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63">
        <f>IF(ISBLANK(A13),"",SUM(H13:H$207)-SUM(I14:I$207))</f>
        <v>14</v>
      </c>
      <c r="J13" s="163">
        <v>144</v>
      </c>
      <c r="K13" s="163">
        <f>IF(J13=1,1,INT(J13*(1-IF(Q13="배틀아이템",검색!$I$23,IF(Q13="요리",검색!$J$23,IF(Q13="특수",검색!$K$23,IF(Q13="생활도구",검색!$L$23))))*0.01)))</f>
        <v>134</v>
      </c>
      <c r="L13" s="163">
        <v>3</v>
      </c>
      <c r="M13" s="163">
        <f>L13*(1+0.01*IF(Q13="배틀아이템",검색!$I$21,IF(Q13="요리",검색!$J$21,IF(Q13="특수",검색!$K$21,IF(Q13="생활도구",검색!$L$21)))))</f>
        <v>3.1500000000000004</v>
      </c>
      <c r="N13" s="163" t="str">
        <f t="shared" si="3"/>
        <v/>
      </c>
      <c r="O13" s="149" t="e">
        <f t="shared" si="4"/>
        <v>#VALUE!</v>
      </c>
      <c r="P13" s="146" t="e">
        <f t="shared" si="5"/>
        <v>#VALUE!</v>
      </c>
      <c r="Q13" s="73" t="s">
        <v>132</v>
      </c>
    </row>
    <row r="14" spans="1:17">
      <c r="A14" s="158"/>
      <c r="B14" s="161"/>
      <c r="C14" s="164"/>
      <c r="D14" s="164"/>
      <c r="E14" s="167"/>
      <c r="F14" s="91" t="s">
        <v>8</v>
      </c>
      <c r="G14" s="91">
        <v>9</v>
      </c>
      <c r="H14" s="91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64"/>
      <c r="J14" s="164"/>
      <c r="K14" s="164"/>
      <c r="L14" s="164"/>
      <c r="M14" s="164"/>
      <c r="N14" s="164"/>
      <c r="O14" s="150"/>
      <c r="P14" s="147"/>
      <c r="Q14" s="74" t="s">
        <v>132</v>
      </c>
    </row>
    <row r="15" spans="1:17" s="2" customFormat="1" ht="17.25" thickBot="1">
      <c r="A15" s="169"/>
      <c r="B15" s="170"/>
      <c r="C15" s="171"/>
      <c r="D15" s="171"/>
      <c r="E15" s="172"/>
      <c r="F15" s="93" t="s">
        <v>19</v>
      </c>
      <c r="G15" s="93">
        <v>15</v>
      </c>
      <c r="H15" s="93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14</v>
      </c>
      <c r="I15" s="171"/>
      <c r="J15" s="171"/>
      <c r="K15" s="171"/>
      <c r="L15" s="171"/>
      <c r="M15" s="171"/>
      <c r="N15" s="171"/>
      <c r="O15" s="151"/>
      <c r="P15" s="156"/>
      <c r="Q15" s="76" t="s">
        <v>132</v>
      </c>
    </row>
    <row r="16" spans="1:17">
      <c r="A16" s="157" t="s">
        <v>17</v>
      </c>
      <c r="B16" s="160" t="str">
        <f t="shared" si="0"/>
        <v>제작</v>
      </c>
      <c r="C16" s="163" t="str">
        <f>IFERROR(VLOOKUP(A16,'거래소 최저가'!F:G,2,FALSE),"")</f>
        <v/>
      </c>
      <c r="D16" s="163" t="str">
        <f t="shared" si="1"/>
        <v/>
      </c>
      <c r="E16" s="166">
        <f t="shared" si="2"/>
        <v>9.3333333333333339</v>
      </c>
      <c r="F16" s="90" t="s">
        <v>0</v>
      </c>
      <c r="G16" s="90">
        <v>48</v>
      </c>
      <c r="H16" s="90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63">
        <f>IF(ISBLANK(A16),"",SUM(H16:H$207)-SUM(I17:I$207))</f>
        <v>28</v>
      </c>
      <c r="J16" s="163">
        <v>288</v>
      </c>
      <c r="K16" s="163">
        <f>IF(J16=1,1,INT(J16*(1-IF(Q16="배틀아이템",검색!$I$23,IF(Q16="요리",검색!$J$23,IF(Q16="특수",검색!$K$23,IF(Q16="생활도구",검색!$L$23))))*0.01)))</f>
        <v>269</v>
      </c>
      <c r="L16" s="163">
        <v>3</v>
      </c>
      <c r="M16" s="163">
        <f>L16*(1+0.01*IF(Q16="배틀아이템",검색!$I$21,IF(Q16="요리",검색!$J$21,IF(Q16="특수",검색!$K$21,IF(Q16="생활도구",검색!$L$21)))))</f>
        <v>3.1500000000000004</v>
      </c>
      <c r="N16" s="163" t="str">
        <f t="shared" si="3"/>
        <v/>
      </c>
      <c r="O16" s="149" t="e">
        <f t="shared" si="4"/>
        <v>#VALUE!</v>
      </c>
      <c r="P16" s="146" t="e">
        <f t="shared" si="5"/>
        <v>#VALUE!</v>
      </c>
      <c r="Q16" s="73" t="s">
        <v>132</v>
      </c>
    </row>
    <row r="17" spans="1:17">
      <c r="A17" s="158"/>
      <c r="B17" s="161"/>
      <c r="C17" s="164"/>
      <c r="D17" s="164"/>
      <c r="E17" s="167"/>
      <c r="F17" s="91" t="s">
        <v>8</v>
      </c>
      <c r="G17" s="91">
        <v>54</v>
      </c>
      <c r="H17" s="91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64"/>
      <c r="J17" s="164"/>
      <c r="K17" s="164"/>
      <c r="L17" s="164"/>
      <c r="M17" s="164"/>
      <c r="N17" s="164"/>
      <c r="O17" s="150"/>
      <c r="P17" s="147"/>
      <c r="Q17" s="74" t="s">
        <v>132</v>
      </c>
    </row>
    <row r="18" spans="1:17">
      <c r="A18" s="158"/>
      <c r="B18" s="161"/>
      <c r="C18" s="164"/>
      <c r="D18" s="164"/>
      <c r="E18" s="167"/>
      <c r="F18" s="91" t="s">
        <v>18</v>
      </c>
      <c r="G18" s="91">
        <v>6</v>
      </c>
      <c r="H18" s="91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64"/>
      <c r="J18" s="164"/>
      <c r="K18" s="164"/>
      <c r="L18" s="164"/>
      <c r="M18" s="164"/>
      <c r="N18" s="164"/>
      <c r="O18" s="150"/>
      <c r="P18" s="147"/>
      <c r="Q18" s="74" t="s">
        <v>132</v>
      </c>
    </row>
    <row r="19" spans="1:17" ht="17.25" thickBot="1">
      <c r="A19" s="169"/>
      <c r="B19" s="170"/>
      <c r="C19" s="171"/>
      <c r="D19" s="171"/>
      <c r="E19" s="172"/>
      <c r="F19" s="93" t="s">
        <v>19</v>
      </c>
      <c r="G19" s="93">
        <v>30</v>
      </c>
      <c r="H19" s="93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28</v>
      </c>
      <c r="I19" s="171"/>
      <c r="J19" s="171"/>
      <c r="K19" s="171"/>
      <c r="L19" s="171"/>
      <c r="M19" s="171"/>
      <c r="N19" s="171"/>
      <c r="O19" s="151"/>
      <c r="P19" s="156"/>
      <c r="Q19" s="76" t="s">
        <v>132</v>
      </c>
    </row>
    <row r="20" spans="1:17">
      <c r="A20" s="157" t="s">
        <v>23</v>
      </c>
      <c r="B20" s="160" t="str">
        <f t="shared" si="0"/>
        <v>구매</v>
      </c>
      <c r="C20" s="163">
        <f>IFERROR(VLOOKUP(A20,'거래소 최저가'!F:G,2,FALSE),"")</f>
        <v>0</v>
      </c>
      <c r="D20" s="163">
        <f t="shared" si="1"/>
        <v>1</v>
      </c>
      <c r="E20" s="166">
        <f t="shared" si="2"/>
        <v>6.4</v>
      </c>
      <c r="F20" s="90" t="s">
        <v>24</v>
      </c>
      <c r="G20" s="90">
        <v>72</v>
      </c>
      <c r="H20" s="90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63">
        <f>IF(ISBLANK(A20),"",SUM(H20:H$207)-SUM(I21:I$207))</f>
        <v>192</v>
      </c>
      <c r="J20" s="163">
        <v>144</v>
      </c>
      <c r="K20" s="163">
        <f>IF(J20=1,1,INT(J20*(1-IF(Q20="배틀아이템",검색!$I$23,IF(Q20="요리",검색!$J$23,IF(Q20="특수",검색!$K$23,IF(Q20="생활도구",검색!$L$23))))*0.01)))</f>
        <v>134</v>
      </c>
      <c r="L20" s="163">
        <v>30</v>
      </c>
      <c r="M20" s="163">
        <f>L20*(1+0.01*IF(Q20="배틀아이템",검색!$I$21,IF(Q20="요리",검색!$J$21,IF(Q20="특수",검색!$K$21,IF(Q20="생활도구",검색!$L$21)))))</f>
        <v>31.5</v>
      </c>
      <c r="N20" s="163">
        <f t="shared" si="3"/>
        <v>-1.6679104477611941</v>
      </c>
      <c r="O20" s="149">
        <f t="shared" si="4"/>
        <v>-16679.104477611942</v>
      </c>
      <c r="P20" s="146">
        <f t="shared" si="5"/>
        <v>-19029.850746268658</v>
      </c>
      <c r="Q20" s="73" t="s">
        <v>134</v>
      </c>
    </row>
    <row r="21" spans="1:17" s="5" customFormat="1">
      <c r="A21" s="158"/>
      <c r="B21" s="161"/>
      <c r="C21" s="164"/>
      <c r="D21" s="164"/>
      <c r="E21" s="167"/>
      <c r="F21" s="91" t="s">
        <v>25</v>
      </c>
      <c r="G21" s="91">
        <v>9</v>
      </c>
      <c r="H21" s="91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64"/>
      <c r="J21" s="164"/>
      <c r="K21" s="164"/>
      <c r="L21" s="164"/>
      <c r="M21" s="164"/>
      <c r="N21" s="164"/>
      <c r="O21" s="150"/>
      <c r="P21" s="147"/>
      <c r="Q21" s="74" t="s">
        <v>134</v>
      </c>
    </row>
    <row r="22" spans="1:17" s="5" customFormat="1">
      <c r="A22" s="158"/>
      <c r="B22" s="161"/>
      <c r="C22" s="164"/>
      <c r="D22" s="164"/>
      <c r="E22" s="167"/>
      <c r="F22" s="91" t="s">
        <v>26</v>
      </c>
      <c r="G22" s="91">
        <v>36</v>
      </c>
      <c r="H22" s="91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64"/>
      <c r="J22" s="164"/>
      <c r="K22" s="164"/>
      <c r="L22" s="164"/>
      <c r="M22" s="164"/>
      <c r="N22" s="164"/>
      <c r="O22" s="150"/>
      <c r="P22" s="147"/>
      <c r="Q22" s="74" t="s">
        <v>134</v>
      </c>
    </row>
    <row r="23" spans="1:17" s="5" customFormat="1" ht="17.25" thickBot="1">
      <c r="A23" s="159"/>
      <c r="B23" s="162"/>
      <c r="C23" s="165"/>
      <c r="D23" s="165"/>
      <c r="E23" s="168"/>
      <c r="F23" s="92" t="s">
        <v>19</v>
      </c>
      <c r="G23" s="92">
        <v>203</v>
      </c>
      <c r="H23" s="92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192</v>
      </c>
      <c r="I23" s="165"/>
      <c r="J23" s="165"/>
      <c r="K23" s="165"/>
      <c r="L23" s="165"/>
      <c r="M23" s="165"/>
      <c r="N23" s="165"/>
      <c r="O23" s="154"/>
      <c r="P23" s="156"/>
      <c r="Q23" s="76" t="s">
        <v>134</v>
      </c>
    </row>
    <row r="24" spans="1:17" s="5" customFormat="1">
      <c r="A24" s="182" t="s">
        <v>27</v>
      </c>
      <c r="B24" s="180" t="str">
        <f t="shared" si="0"/>
        <v>구매</v>
      </c>
      <c r="C24" s="179">
        <f>IFERROR(VLOOKUP(A24,'거래소 최저가'!F:G,2,FALSE),"")</f>
        <v>0</v>
      </c>
      <c r="D24" s="176">
        <f t="shared" si="1"/>
        <v>1</v>
      </c>
      <c r="E24" s="181">
        <f t="shared" si="2"/>
        <v>6.4</v>
      </c>
      <c r="F24" s="94" t="s">
        <v>28</v>
      </c>
      <c r="G24" s="94">
        <v>72</v>
      </c>
      <c r="H24" s="94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79">
        <f>IF(ISBLANK(A24),"",SUM(H24:H$207)-SUM(I25:I$207))</f>
        <v>192</v>
      </c>
      <c r="J24" s="179">
        <v>144</v>
      </c>
      <c r="K24" s="179">
        <f>IF(J24=1,1,INT(J24*(1-IF(Q24="배틀아이템",검색!$I$23,IF(Q24="요리",검색!$J$23,IF(Q24="특수",검색!$K$23,IF(Q24="생활도구",검색!$L$23))))*0.01)))</f>
        <v>134</v>
      </c>
      <c r="L24" s="179">
        <v>30</v>
      </c>
      <c r="M24" s="179">
        <f>L24*(1+0.01*IF(Q24="배틀아이템",검색!$I$21,IF(Q24="요리",검색!$J$21,IF(Q24="특수",검색!$K$21,IF(Q24="생활도구",검색!$L$21)))))</f>
        <v>31.5</v>
      </c>
      <c r="N24" s="179">
        <f t="shared" si="3"/>
        <v>-1.6679104477611941</v>
      </c>
      <c r="O24" s="184">
        <f t="shared" si="4"/>
        <v>-16679.104477611942</v>
      </c>
      <c r="P24" s="149">
        <f t="shared" si="5"/>
        <v>-19029.850746268658</v>
      </c>
      <c r="Q24" s="73" t="s">
        <v>134</v>
      </c>
    </row>
    <row r="25" spans="1:17" s="5" customFormat="1">
      <c r="A25" s="158"/>
      <c r="B25" s="161"/>
      <c r="C25" s="164"/>
      <c r="D25" s="176"/>
      <c r="E25" s="167"/>
      <c r="F25" s="37" t="s">
        <v>29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64"/>
      <c r="J25" s="164"/>
      <c r="K25" s="164"/>
      <c r="L25" s="164"/>
      <c r="M25" s="164"/>
      <c r="N25" s="164"/>
      <c r="O25" s="150"/>
      <c r="P25" s="150"/>
      <c r="Q25" s="74" t="s">
        <v>134</v>
      </c>
    </row>
    <row r="26" spans="1:17" s="5" customFormat="1">
      <c r="A26" s="158"/>
      <c r="B26" s="161"/>
      <c r="C26" s="164"/>
      <c r="D26" s="176"/>
      <c r="E26" s="167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64"/>
      <c r="J26" s="164"/>
      <c r="K26" s="164"/>
      <c r="L26" s="164"/>
      <c r="M26" s="164"/>
      <c r="N26" s="164"/>
      <c r="O26" s="150"/>
      <c r="P26" s="150"/>
      <c r="Q26" s="74" t="s">
        <v>134</v>
      </c>
    </row>
    <row r="27" spans="1:17" s="5" customFormat="1" ht="17.25" thickBot="1">
      <c r="A27" s="169"/>
      <c r="B27" s="170"/>
      <c r="C27" s="171"/>
      <c r="D27" s="183"/>
      <c r="E27" s="172"/>
      <c r="F27" s="38" t="s">
        <v>19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192</v>
      </c>
      <c r="I27" s="171"/>
      <c r="J27" s="171"/>
      <c r="K27" s="171"/>
      <c r="L27" s="171"/>
      <c r="M27" s="171"/>
      <c r="N27" s="171"/>
      <c r="O27" s="151"/>
      <c r="P27" s="151"/>
      <c r="Q27" s="76" t="s">
        <v>134</v>
      </c>
    </row>
    <row r="28" spans="1:17" s="5" customFormat="1">
      <c r="A28" s="157" t="s">
        <v>30</v>
      </c>
      <c r="B28" s="160" t="str">
        <f t="shared" si="0"/>
        <v>구매</v>
      </c>
      <c r="C28" s="163">
        <f>IFERROR(VLOOKUP(A28,'거래소 최저가'!F:G,2,FALSE),"")</f>
        <v>0</v>
      </c>
      <c r="D28" s="175">
        <f t="shared" si="1"/>
        <v>1</v>
      </c>
      <c r="E28" s="166">
        <f t="shared" si="2"/>
        <v>6.4</v>
      </c>
      <c r="F28" s="36" t="s">
        <v>31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63">
        <f>IF(ISBLANK(A28),"",SUM(H28:H$207)-SUM(I29:I$207))</f>
        <v>192</v>
      </c>
      <c r="J28" s="163">
        <v>144</v>
      </c>
      <c r="K28" s="163">
        <f>IF(J28=1,1,INT(J28*(1-IF(Q28="배틀아이템",검색!$I$23,IF(Q28="요리",검색!$J$23,IF(Q28="특수",검색!$K$23,IF(Q28="생활도구",검색!$L$23))))*0.01)))</f>
        <v>134</v>
      </c>
      <c r="L28" s="163">
        <v>30</v>
      </c>
      <c r="M28" s="163">
        <f>L28*(1+0.01*IF(Q28="배틀아이템",검색!$I$21,IF(Q28="요리",검색!$J$21,IF(Q28="특수",검색!$K$21,IF(Q28="생활도구",검색!$L$21)))))</f>
        <v>31.5</v>
      </c>
      <c r="N28" s="163">
        <f t="shared" si="3"/>
        <v>-1.6679104477611941</v>
      </c>
      <c r="O28" s="149">
        <f t="shared" si="4"/>
        <v>-16679.104477611942</v>
      </c>
      <c r="P28" s="149">
        <f t="shared" si="5"/>
        <v>-19029.850746268658</v>
      </c>
      <c r="Q28" s="73" t="s">
        <v>134</v>
      </c>
    </row>
    <row r="29" spans="1:17" s="5" customFormat="1">
      <c r="A29" s="158"/>
      <c r="B29" s="161"/>
      <c r="C29" s="164"/>
      <c r="D29" s="176"/>
      <c r="E29" s="167"/>
      <c r="F29" s="37" t="s">
        <v>32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64"/>
      <c r="J29" s="164"/>
      <c r="K29" s="164"/>
      <c r="L29" s="164"/>
      <c r="M29" s="164"/>
      <c r="N29" s="164"/>
      <c r="O29" s="150"/>
      <c r="P29" s="150"/>
      <c r="Q29" s="74" t="s">
        <v>134</v>
      </c>
    </row>
    <row r="30" spans="1:17" s="5" customFormat="1">
      <c r="A30" s="158"/>
      <c r="B30" s="161"/>
      <c r="C30" s="164"/>
      <c r="D30" s="176"/>
      <c r="E30" s="167"/>
      <c r="F30" s="37" t="s">
        <v>33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64"/>
      <c r="J30" s="164"/>
      <c r="K30" s="164"/>
      <c r="L30" s="164"/>
      <c r="M30" s="164"/>
      <c r="N30" s="164"/>
      <c r="O30" s="150"/>
      <c r="P30" s="150"/>
      <c r="Q30" s="74" t="s">
        <v>134</v>
      </c>
    </row>
    <row r="31" spans="1:17" s="5" customFormat="1" ht="17.25" thickBot="1">
      <c r="A31" s="169"/>
      <c r="B31" s="170"/>
      <c r="C31" s="171"/>
      <c r="D31" s="183"/>
      <c r="E31" s="172"/>
      <c r="F31" s="38" t="s">
        <v>19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192</v>
      </c>
      <c r="I31" s="171"/>
      <c r="J31" s="171"/>
      <c r="K31" s="171"/>
      <c r="L31" s="171"/>
      <c r="M31" s="171"/>
      <c r="N31" s="171"/>
      <c r="O31" s="151"/>
      <c r="P31" s="151"/>
      <c r="Q31" s="76" t="s">
        <v>134</v>
      </c>
    </row>
    <row r="32" spans="1:17" s="5" customFormat="1">
      <c r="A32" s="157" t="s">
        <v>34</v>
      </c>
      <c r="B32" s="160" t="str">
        <f t="shared" si="0"/>
        <v>구매</v>
      </c>
      <c r="C32" s="163">
        <f>IFERROR(VLOOKUP(A32,'거래소 최저가'!F:G,2,FALSE),"")</f>
        <v>0</v>
      </c>
      <c r="D32" s="175">
        <f t="shared" si="1"/>
        <v>1</v>
      </c>
      <c r="E32" s="166">
        <f t="shared" si="2"/>
        <v>6.4666666666666668</v>
      </c>
      <c r="F32" s="36" t="s">
        <v>24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63">
        <f>IF(ISBLANK(A32),"",SUM(H32:H$207)-SUM(I33:I$207))</f>
        <v>194</v>
      </c>
      <c r="J32" s="163">
        <v>216</v>
      </c>
      <c r="K32" s="163">
        <f>IF(J32=1,1,INT(J32*(1-IF(Q32="배틀아이템",검색!$I$23,IF(Q32="요리",검색!$J$23,IF(Q32="특수",검색!$K$23,IF(Q32="생활도구",검색!$L$23))))*0.01)))</f>
        <v>201</v>
      </c>
      <c r="L32" s="163">
        <v>30</v>
      </c>
      <c r="M32" s="163">
        <f>L32*(1+0.01*IF(Q32="배틀아이템",검색!$I$21,IF(Q32="요리",검색!$J$21,IF(Q32="특수",검색!$K$21,IF(Q32="생활도구",검색!$L$21)))))</f>
        <v>31.5</v>
      </c>
      <c r="N32" s="163">
        <f t="shared" si="3"/>
        <v>-1.1218905472636815</v>
      </c>
      <c r="O32" s="149">
        <f t="shared" si="4"/>
        <v>-11218.905472636816</v>
      </c>
      <c r="P32" s="149">
        <f t="shared" si="5"/>
        <v>-12786.069651741294</v>
      </c>
      <c r="Q32" s="73" t="s">
        <v>134</v>
      </c>
    </row>
    <row r="33" spans="1:17" s="5" customFormat="1">
      <c r="A33" s="158"/>
      <c r="B33" s="161"/>
      <c r="C33" s="164"/>
      <c r="D33" s="176"/>
      <c r="E33" s="167"/>
      <c r="F33" s="37" t="s">
        <v>25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64"/>
      <c r="J33" s="164"/>
      <c r="K33" s="164"/>
      <c r="L33" s="164"/>
      <c r="M33" s="164"/>
      <c r="N33" s="164"/>
      <c r="O33" s="150"/>
      <c r="P33" s="150"/>
      <c r="Q33" s="74" t="s">
        <v>134</v>
      </c>
    </row>
    <row r="34" spans="1:17" s="5" customFormat="1">
      <c r="A34" s="158"/>
      <c r="B34" s="161"/>
      <c r="C34" s="164"/>
      <c r="D34" s="176"/>
      <c r="E34" s="167"/>
      <c r="F34" s="37" t="s">
        <v>26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64"/>
      <c r="J34" s="164"/>
      <c r="K34" s="164"/>
      <c r="L34" s="164"/>
      <c r="M34" s="164"/>
      <c r="N34" s="164"/>
      <c r="O34" s="150"/>
      <c r="P34" s="150"/>
      <c r="Q34" s="74" t="s">
        <v>134</v>
      </c>
    </row>
    <row r="35" spans="1:17" s="5" customFormat="1" ht="17.25" thickBot="1">
      <c r="A35" s="169"/>
      <c r="B35" s="170"/>
      <c r="C35" s="171"/>
      <c r="D35" s="183"/>
      <c r="E35" s="172"/>
      <c r="F35" s="38" t="s">
        <v>19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194</v>
      </c>
      <c r="I35" s="171"/>
      <c r="J35" s="171"/>
      <c r="K35" s="171"/>
      <c r="L35" s="171"/>
      <c r="M35" s="171"/>
      <c r="N35" s="171"/>
      <c r="O35" s="151"/>
      <c r="P35" s="151"/>
      <c r="Q35" s="76" t="s">
        <v>134</v>
      </c>
    </row>
    <row r="36" spans="1:17" s="5" customFormat="1">
      <c r="A36" s="157" t="s">
        <v>35</v>
      </c>
      <c r="B36" s="160" t="str">
        <f t="shared" ref="B36:B75" si="6">IFERROR(IF(ISBLANK(A36),"",IF(C36&gt;E36,"제작","구매")),"")</f>
        <v>구매</v>
      </c>
      <c r="C36" s="163">
        <f>IFERROR(VLOOKUP(A36,'거래소 최저가'!F:G,2,FALSE),"")</f>
        <v>0</v>
      </c>
      <c r="D36" s="175">
        <f t="shared" si="1"/>
        <v>1</v>
      </c>
      <c r="E36" s="166">
        <f t="shared" ref="E36:E75" si="7">IFERROR(IF(ISBLANK(A36),"",I36/L36),"")</f>
        <v>6.4666666666666668</v>
      </c>
      <c r="F36" s="36" t="s">
        <v>28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63">
        <f>IF(ISBLANK(A36),"",SUM(H36:H$207)-SUM(I37:I$207))</f>
        <v>194</v>
      </c>
      <c r="J36" s="163">
        <v>216</v>
      </c>
      <c r="K36" s="163">
        <f>IF(J36=1,1,INT(J36*(1-IF(Q36="배틀아이템",검색!$I$23,IF(Q36="요리",검색!$J$23,IF(Q36="특수",검색!$K$23,IF(Q36="생활도구",검색!$L$23))))*0.01)))</f>
        <v>201</v>
      </c>
      <c r="L36" s="163">
        <v>30</v>
      </c>
      <c r="M36" s="163">
        <f>L36*(1+0.01*IF(Q36="배틀아이템",검색!$I$21,IF(Q36="요리",검색!$J$21,IF(Q36="특수",검색!$K$21,IF(Q36="생활도구",검색!$L$21)))))</f>
        <v>31.5</v>
      </c>
      <c r="N36" s="163">
        <f t="shared" si="3"/>
        <v>-1.1218905472636815</v>
      </c>
      <c r="O36" s="149">
        <f t="shared" ref="O36:O75" si="8">N36*10000</f>
        <v>-11218.905472636816</v>
      </c>
      <c r="P36" s="149">
        <f t="shared" si="5"/>
        <v>-12786.069651741294</v>
      </c>
      <c r="Q36" s="73" t="s">
        <v>134</v>
      </c>
    </row>
    <row r="37" spans="1:17" s="5" customFormat="1">
      <c r="A37" s="158"/>
      <c r="B37" s="161"/>
      <c r="C37" s="164"/>
      <c r="D37" s="176"/>
      <c r="E37" s="167"/>
      <c r="F37" s="37" t="s">
        <v>29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64"/>
      <c r="J37" s="164"/>
      <c r="K37" s="164"/>
      <c r="L37" s="164"/>
      <c r="M37" s="164"/>
      <c r="N37" s="164"/>
      <c r="O37" s="150"/>
      <c r="P37" s="150"/>
      <c r="Q37" s="74" t="s">
        <v>134</v>
      </c>
    </row>
    <row r="38" spans="1:17" s="5" customFormat="1">
      <c r="A38" s="158"/>
      <c r="B38" s="161"/>
      <c r="C38" s="164"/>
      <c r="D38" s="176"/>
      <c r="E38" s="167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64"/>
      <c r="J38" s="164"/>
      <c r="K38" s="164"/>
      <c r="L38" s="164"/>
      <c r="M38" s="164"/>
      <c r="N38" s="164"/>
      <c r="O38" s="150"/>
      <c r="P38" s="150"/>
      <c r="Q38" s="74" t="s">
        <v>134</v>
      </c>
    </row>
    <row r="39" spans="1:17" s="5" customFormat="1" ht="17.25" thickBot="1">
      <c r="A39" s="169"/>
      <c r="B39" s="170"/>
      <c r="C39" s="171"/>
      <c r="D39" s="183"/>
      <c r="E39" s="172"/>
      <c r="F39" s="38" t="s">
        <v>19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194</v>
      </c>
      <c r="I39" s="171"/>
      <c r="J39" s="171"/>
      <c r="K39" s="171"/>
      <c r="L39" s="171"/>
      <c r="M39" s="171"/>
      <c r="N39" s="171"/>
      <c r="O39" s="151"/>
      <c r="P39" s="151"/>
      <c r="Q39" s="76" t="s">
        <v>134</v>
      </c>
    </row>
    <row r="40" spans="1:17" s="5" customFormat="1">
      <c r="A40" s="157" t="s">
        <v>36</v>
      </c>
      <c r="B40" s="160" t="str">
        <f t="shared" ref="B40:B44" si="9">IFERROR(IF(ISBLANK(A40),"",IF(C40&gt;E40,"제작","구매")),"")</f>
        <v>구매</v>
      </c>
      <c r="C40" s="163">
        <f>IFERROR(VLOOKUP(A40,'거래소 최저가'!F:G,2,FALSE),"")</f>
        <v>0</v>
      </c>
      <c r="D40" s="175">
        <f t="shared" si="1"/>
        <v>1</v>
      </c>
      <c r="E40" s="166">
        <f t="shared" ref="E40:E44" si="10">IFERROR(IF(ISBLANK(A40),"",I40/L40),"")</f>
        <v>6.4666666666666668</v>
      </c>
      <c r="F40" s="36" t="s">
        <v>31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63">
        <f>IF(ISBLANK(A40),"",SUM(H40:H$207)-SUM(I41:I$207))</f>
        <v>194</v>
      </c>
      <c r="J40" s="163">
        <v>216</v>
      </c>
      <c r="K40" s="163">
        <f>IF(J40=1,1,INT(J40*(1-IF(Q40="배틀아이템",검색!$I$23,IF(Q40="요리",검색!$J$23,IF(Q40="특수",검색!$K$23,IF(Q40="생활도구",검색!$L$23))))*0.01)))</f>
        <v>201</v>
      </c>
      <c r="L40" s="163">
        <v>30</v>
      </c>
      <c r="M40" s="163">
        <f>L40*(1+0.01*IF(Q40="배틀아이템",검색!$I$21,IF(Q40="요리",검색!$J$21,IF(Q40="특수",검색!$K$21,IF(Q40="생활도구",검색!$L$21)))))</f>
        <v>31.5</v>
      </c>
      <c r="N40" s="163">
        <f t="shared" si="3"/>
        <v>-1.1218905472636815</v>
      </c>
      <c r="O40" s="149">
        <f t="shared" ref="O40:O52" si="11">N40*10000</f>
        <v>-11218.905472636816</v>
      </c>
      <c r="P40" s="149">
        <f t="shared" si="5"/>
        <v>-12786.069651741294</v>
      </c>
      <c r="Q40" s="73" t="s">
        <v>134</v>
      </c>
    </row>
    <row r="41" spans="1:17" s="5" customFormat="1">
      <c r="A41" s="158"/>
      <c r="B41" s="161"/>
      <c r="C41" s="164"/>
      <c r="D41" s="176"/>
      <c r="E41" s="167"/>
      <c r="F41" s="37" t="s">
        <v>32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64"/>
      <c r="J41" s="164"/>
      <c r="K41" s="164"/>
      <c r="L41" s="164"/>
      <c r="M41" s="164"/>
      <c r="N41" s="164"/>
      <c r="O41" s="150"/>
      <c r="P41" s="150"/>
      <c r="Q41" s="74" t="s">
        <v>134</v>
      </c>
    </row>
    <row r="42" spans="1:17" s="5" customFormat="1">
      <c r="A42" s="158"/>
      <c r="B42" s="161"/>
      <c r="C42" s="164"/>
      <c r="D42" s="176"/>
      <c r="E42" s="167"/>
      <c r="F42" s="37" t="s">
        <v>33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64"/>
      <c r="J42" s="164"/>
      <c r="K42" s="164"/>
      <c r="L42" s="164"/>
      <c r="M42" s="164"/>
      <c r="N42" s="164"/>
      <c r="O42" s="150"/>
      <c r="P42" s="150"/>
      <c r="Q42" s="74" t="s">
        <v>134</v>
      </c>
    </row>
    <row r="43" spans="1:17" s="5" customFormat="1" ht="17.25" thickBot="1">
      <c r="A43" s="169"/>
      <c r="B43" s="170"/>
      <c r="C43" s="171"/>
      <c r="D43" s="176"/>
      <c r="E43" s="172"/>
      <c r="F43" s="38" t="s">
        <v>19</v>
      </c>
      <c r="G43" s="38">
        <v>205</v>
      </c>
      <c r="H43" s="56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194</v>
      </c>
      <c r="I43" s="171"/>
      <c r="J43" s="171"/>
      <c r="K43" s="171"/>
      <c r="L43" s="171"/>
      <c r="M43" s="171"/>
      <c r="N43" s="171"/>
      <c r="O43" s="151"/>
      <c r="P43" s="151"/>
      <c r="Q43" s="76" t="s">
        <v>134</v>
      </c>
    </row>
    <row r="44" spans="1:17" s="5" customFormat="1">
      <c r="A44" s="173" t="s">
        <v>128</v>
      </c>
      <c r="B44" s="160" t="str">
        <f t="shared" si="9"/>
        <v>구매</v>
      </c>
      <c r="C44" s="175">
        <f>IFERROR(VLOOKUP(A44,'거래소 최저가'!F:G,2,FALSE),"")</f>
        <v>0</v>
      </c>
      <c r="D44" s="175">
        <f t="shared" si="1"/>
        <v>1</v>
      </c>
      <c r="E44" s="177">
        <f t="shared" si="10"/>
        <v>11.849999999999994</v>
      </c>
      <c r="F44" s="54" t="s">
        <v>24</v>
      </c>
      <c r="G44" s="54">
        <v>128</v>
      </c>
      <c r="H44" s="58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75">
        <f>IF(ISBLANK(A44),"",SUM(H44:H$207)-SUM(I45:I$207))</f>
        <v>236.99999999999989</v>
      </c>
      <c r="J44" s="175">
        <v>288</v>
      </c>
      <c r="K44" s="175">
        <f>IF(J44=1,1,INT(J44*(1-IF(Q44="배틀아이템",검색!$I$23,IF(Q44="요리",검색!$J$23,IF(Q44="특수",검색!$K$23,IF(Q44="생활도구",검색!$L$23))))*0.01)))</f>
        <v>269</v>
      </c>
      <c r="L44" s="175">
        <v>20</v>
      </c>
      <c r="M44" s="175">
        <f>L44*(1+0.01*IF(Q44="배틀아이템",검색!$I$21,IF(Q44="요리",검색!$J$21,IF(Q44="특수",검색!$K$21,IF(Q44="생활도구",검색!$L$21)))))</f>
        <v>21</v>
      </c>
      <c r="N44" s="175">
        <f t="shared" si="3"/>
        <v>-0.95910780669144935</v>
      </c>
      <c r="O44" s="152">
        <f t="shared" si="11"/>
        <v>-9591.0780669144933</v>
      </c>
      <c r="P44" s="152">
        <f t="shared" si="5"/>
        <v>-10371.747211895907</v>
      </c>
      <c r="Q44" s="77" t="s">
        <v>134</v>
      </c>
    </row>
    <row r="45" spans="1:17" s="5" customFormat="1">
      <c r="A45" s="174"/>
      <c r="B45" s="161"/>
      <c r="C45" s="176"/>
      <c r="D45" s="176"/>
      <c r="E45" s="178"/>
      <c r="F45" s="55" t="s">
        <v>26</v>
      </c>
      <c r="G45" s="55">
        <v>64</v>
      </c>
      <c r="H45" s="59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76"/>
      <c r="J45" s="176"/>
      <c r="K45" s="176"/>
      <c r="L45" s="176"/>
      <c r="M45" s="176"/>
      <c r="N45" s="176"/>
      <c r="O45" s="153"/>
      <c r="P45" s="153"/>
      <c r="Q45" s="78" t="s">
        <v>134</v>
      </c>
    </row>
    <row r="46" spans="1:17" s="5" customFormat="1">
      <c r="A46" s="174"/>
      <c r="B46" s="161"/>
      <c r="C46" s="176"/>
      <c r="D46" s="176"/>
      <c r="E46" s="178"/>
      <c r="F46" s="55" t="s">
        <v>25</v>
      </c>
      <c r="G46" s="55">
        <v>16</v>
      </c>
      <c r="H46" s="59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76"/>
      <c r="J46" s="176"/>
      <c r="K46" s="176"/>
      <c r="L46" s="176"/>
      <c r="M46" s="176"/>
      <c r="N46" s="176"/>
      <c r="O46" s="153"/>
      <c r="P46" s="153"/>
      <c r="Q46" s="78" t="s">
        <v>134</v>
      </c>
    </row>
    <row r="47" spans="1:17" s="5" customFormat="1" ht="17.25" thickBot="1">
      <c r="A47" s="174"/>
      <c r="B47" s="170"/>
      <c r="C47" s="176"/>
      <c r="D47" s="176"/>
      <c r="E47" s="178"/>
      <c r="F47" s="56" t="s">
        <v>19</v>
      </c>
      <c r="G47" s="56">
        <v>250</v>
      </c>
      <c r="H47" s="59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237</v>
      </c>
      <c r="I47" s="176"/>
      <c r="J47" s="176"/>
      <c r="K47" s="176"/>
      <c r="L47" s="176"/>
      <c r="M47" s="176"/>
      <c r="N47" s="176"/>
      <c r="O47" s="153"/>
      <c r="P47" s="153"/>
      <c r="Q47" s="78" t="s">
        <v>134</v>
      </c>
    </row>
    <row r="48" spans="1:17" s="5" customFormat="1">
      <c r="A48" s="157" t="s">
        <v>129</v>
      </c>
      <c r="B48" s="160" t="str">
        <f t="shared" ref="B48" si="12">IFERROR(IF(ISBLANK(A48),"",IF(C48&gt;E48,"제작","구매")),"")</f>
        <v>구매</v>
      </c>
      <c r="C48" s="163">
        <f>IFERROR(VLOOKUP(A48,'거래소 최저가'!F:G,2,FALSE),"")</f>
        <v>0</v>
      </c>
      <c r="D48" s="163">
        <f t="shared" si="1"/>
        <v>1</v>
      </c>
      <c r="E48" s="166">
        <f t="shared" ref="E48" si="13">IFERROR(IF(ISBLANK(A48),"",I48/L48),"")</f>
        <v>11.85</v>
      </c>
      <c r="F48" s="54" t="s">
        <v>28</v>
      </c>
      <c r="G48" s="54">
        <v>128</v>
      </c>
      <c r="H48" s="54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63">
        <f>IF(ISBLANK(A48),"",SUM(H48:H$207)-SUM(I49:I$207))</f>
        <v>237</v>
      </c>
      <c r="J48" s="163">
        <v>288</v>
      </c>
      <c r="K48" s="163">
        <f>IF(J48=1,1,INT(J48*(1-IF(Q48="배틀아이템",검색!$I$23,IF(Q48="요리",검색!$J$23,IF(Q48="특수",검색!$K$23,IF(Q48="생활도구",검색!$L$23))))*0.01)))</f>
        <v>269</v>
      </c>
      <c r="L48" s="163">
        <v>20</v>
      </c>
      <c r="M48" s="163">
        <f>L48*(1+0.01*IF(Q48="배틀아이템",검색!$I$21,IF(Q48="요리",검색!$J$21,IF(Q48="특수",검색!$K$21,IF(Q48="생활도구",검색!$L$21)))))</f>
        <v>21</v>
      </c>
      <c r="N48" s="163">
        <f t="shared" si="3"/>
        <v>-0.95910780669144979</v>
      </c>
      <c r="O48" s="149">
        <f t="shared" si="11"/>
        <v>-9591.0780669144988</v>
      </c>
      <c r="P48" s="149">
        <f t="shared" si="5"/>
        <v>-10371.74721189591</v>
      </c>
      <c r="Q48" s="73" t="s">
        <v>134</v>
      </c>
    </row>
    <row r="49" spans="1:17" s="5" customFormat="1">
      <c r="A49" s="158"/>
      <c r="B49" s="161"/>
      <c r="C49" s="164"/>
      <c r="D49" s="164"/>
      <c r="E49" s="167"/>
      <c r="F49" s="55" t="s">
        <v>1</v>
      </c>
      <c r="G49" s="55">
        <v>64</v>
      </c>
      <c r="H49" s="55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64"/>
      <c r="J49" s="164"/>
      <c r="K49" s="164"/>
      <c r="L49" s="164"/>
      <c r="M49" s="164"/>
      <c r="N49" s="164"/>
      <c r="O49" s="150"/>
      <c r="P49" s="150"/>
      <c r="Q49" s="74" t="s">
        <v>134</v>
      </c>
    </row>
    <row r="50" spans="1:17" s="5" customFormat="1">
      <c r="A50" s="158"/>
      <c r="B50" s="161"/>
      <c r="C50" s="164"/>
      <c r="D50" s="164"/>
      <c r="E50" s="167"/>
      <c r="F50" s="55" t="s">
        <v>29</v>
      </c>
      <c r="G50" s="55">
        <v>16</v>
      </c>
      <c r="H50" s="55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64"/>
      <c r="J50" s="164"/>
      <c r="K50" s="164"/>
      <c r="L50" s="164"/>
      <c r="M50" s="164"/>
      <c r="N50" s="164"/>
      <c r="O50" s="150"/>
      <c r="P50" s="150"/>
      <c r="Q50" s="74" t="s">
        <v>134</v>
      </c>
    </row>
    <row r="51" spans="1:17" s="5" customFormat="1" ht="17.25" thickBot="1">
      <c r="A51" s="169"/>
      <c r="B51" s="170"/>
      <c r="C51" s="171"/>
      <c r="D51" s="171"/>
      <c r="E51" s="172"/>
      <c r="F51" s="56" t="s">
        <v>19</v>
      </c>
      <c r="G51" s="56">
        <v>250</v>
      </c>
      <c r="H51" s="56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237</v>
      </c>
      <c r="I51" s="171"/>
      <c r="J51" s="171"/>
      <c r="K51" s="171"/>
      <c r="L51" s="171"/>
      <c r="M51" s="171"/>
      <c r="N51" s="171"/>
      <c r="O51" s="151"/>
      <c r="P51" s="151"/>
      <c r="Q51" s="76" t="s">
        <v>134</v>
      </c>
    </row>
    <row r="52" spans="1:17" s="5" customFormat="1">
      <c r="A52" s="157" t="s">
        <v>130</v>
      </c>
      <c r="B52" s="160" t="str">
        <f t="shared" ref="B52" si="14">IFERROR(IF(ISBLANK(A52),"",IF(C52&gt;E52,"제작","구매")),"")</f>
        <v>구매</v>
      </c>
      <c r="C52" s="163">
        <f>IFERROR(VLOOKUP(A52,'거래소 최저가'!F:G,2,FALSE),"")</f>
        <v>0</v>
      </c>
      <c r="D52" s="163">
        <f t="shared" si="1"/>
        <v>1</v>
      </c>
      <c r="E52" s="166">
        <f t="shared" ref="E52" si="15">IFERROR(IF(ISBLANK(A52),"",I52/L52),"")</f>
        <v>11.85</v>
      </c>
      <c r="F52" s="54" t="s">
        <v>31</v>
      </c>
      <c r="G52" s="54">
        <v>94</v>
      </c>
      <c r="H52" s="54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63">
        <f>IF(ISBLANK(A52),"",SUM(H52:H$207)-SUM(I53:I$207))</f>
        <v>237</v>
      </c>
      <c r="J52" s="163">
        <v>288</v>
      </c>
      <c r="K52" s="163">
        <f>IF(J52=1,1,INT(J52*(1-IF(Q52="배틀아이템",검색!$I$23,IF(Q52="요리",검색!$J$23,IF(Q52="특수",검색!$K$23,IF(Q52="생활도구",검색!$L$23))))*0.01)))</f>
        <v>269</v>
      </c>
      <c r="L52" s="163">
        <v>20</v>
      </c>
      <c r="M52" s="163">
        <f>L52*(1+0.01*IF(Q52="배틀아이템",검색!$I$21,IF(Q52="요리",검색!$J$21,IF(Q52="특수",검색!$K$21,IF(Q52="생활도구",검색!$L$21)))))</f>
        <v>21</v>
      </c>
      <c r="N52" s="163">
        <f t="shared" si="3"/>
        <v>-0.95910780669144979</v>
      </c>
      <c r="O52" s="149">
        <f t="shared" si="11"/>
        <v>-9591.0780669144988</v>
      </c>
      <c r="P52" s="149">
        <f t="shared" si="5"/>
        <v>-10371.74721189591</v>
      </c>
      <c r="Q52" s="73" t="s">
        <v>134</v>
      </c>
    </row>
    <row r="53" spans="1:17" s="5" customFormat="1">
      <c r="A53" s="158"/>
      <c r="B53" s="161"/>
      <c r="C53" s="164"/>
      <c r="D53" s="164"/>
      <c r="E53" s="167"/>
      <c r="F53" s="55" t="s">
        <v>32</v>
      </c>
      <c r="G53" s="55">
        <v>29</v>
      </c>
      <c r="H53" s="55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64"/>
      <c r="J53" s="164"/>
      <c r="K53" s="164"/>
      <c r="L53" s="164"/>
      <c r="M53" s="164"/>
      <c r="N53" s="164"/>
      <c r="O53" s="150"/>
      <c r="P53" s="150"/>
      <c r="Q53" s="74" t="s">
        <v>134</v>
      </c>
    </row>
    <row r="54" spans="1:17" s="5" customFormat="1">
      <c r="A54" s="158"/>
      <c r="B54" s="161"/>
      <c r="C54" s="164"/>
      <c r="D54" s="164"/>
      <c r="E54" s="167"/>
      <c r="F54" s="55" t="s">
        <v>33</v>
      </c>
      <c r="G54" s="55">
        <v>16</v>
      </c>
      <c r="H54" s="55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64"/>
      <c r="J54" s="164"/>
      <c r="K54" s="164"/>
      <c r="L54" s="164"/>
      <c r="M54" s="164"/>
      <c r="N54" s="164"/>
      <c r="O54" s="150"/>
      <c r="P54" s="150"/>
      <c r="Q54" s="74" t="s">
        <v>134</v>
      </c>
    </row>
    <row r="55" spans="1:17" s="5" customFormat="1" ht="17.25" thickBot="1">
      <c r="A55" s="159"/>
      <c r="B55" s="162"/>
      <c r="C55" s="165"/>
      <c r="D55" s="165"/>
      <c r="E55" s="168"/>
      <c r="F55" s="57" t="s">
        <v>19</v>
      </c>
      <c r="G55" s="57">
        <v>250</v>
      </c>
      <c r="H55" s="57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237</v>
      </c>
      <c r="I55" s="165"/>
      <c r="J55" s="165"/>
      <c r="K55" s="165"/>
      <c r="L55" s="165"/>
      <c r="M55" s="165"/>
      <c r="N55" s="165"/>
      <c r="O55" s="154"/>
      <c r="P55" s="154"/>
      <c r="Q55" s="75" t="s">
        <v>134</v>
      </c>
    </row>
    <row r="56" spans="1:17" s="5" customFormat="1">
      <c r="A56" s="157" t="s">
        <v>120</v>
      </c>
      <c r="B56" s="160" t="str">
        <f t="shared" si="6"/>
        <v>구매</v>
      </c>
      <c r="C56" s="163">
        <f>IFERROR(VLOOKUP(A56,'거래소 최저가'!F:G,2,FALSE),"")</f>
        <v>0</v>
      </c>
      <c r="D56" s="175">
        <f t="shared" si="1"/>
        <v>1</v>
      </c>
      <c r="E56" s="166">
        <f t="shared" si="7"/>
        <v>1.2250000000000227</v>
      </c>
      <c r="F56" s="36" t="s">
        <v>28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63">
        <f>IF(ISBLANK(A56),"",SUM(H56:H$207)-SUM(I57:I$207))</f>
        <v>1.2250000000000227</v>
      </c>
      <c r="J56" s="163">
        <v>288</v>
      </c>
      <c r="K56" s="163">
        <f>IF(J56=1,1,INT(J56*(1-IF(Q56="배틀아이템",검색!$I$23,IF(Q56="요리",검색!$J$23,IF(Q56="특수",검색!$K$23,IF(Q56="생활도구",검색!$L$23))))*0.01)))</f>
        <v>269</v>
      </c>
      <c r="L56" s="163">
        <v>1</v>
      </c>
      <c r="M56" s="163">
        <f>L56*(1+0.01*IF(Q56="배틀아이템",검색!$I$21,IF(Q56="요리",검색!$J$21,IF(Q56="특수",검색!$K$21,IF(Q56="생활도구",검색!$L$21)))))</f>
        <v>1.0525</v>
      </c>
      <c r="N56" s="163">
        <f t="shared" si="3"/>
        <v>-8.4665427509294528E-3</v>
      </c>
      <c r="O56" s="149">
        <f t="shared" si="8"/>
        <v>-84.665427509294531</v>
      </c>
      <c r="P56" s="149">
        <f t="shared" si="5"/>
        <v>-123.79182156133913</v>
      </c>
      <c r="Q56" s="73" t="s">
        <v>133</v>
      </c>
    </row>
    <row r="57" spans="1:17" s="5" customFormat="1">
      <c r="A57" s="158"/>
      <c r="B57" s="161"/>
      <c r="C57" s="164"/>
      <c r="D57" s="176"/>
      <c r="E57" s="167"/>
      <c r="F57" s="37" t="s">
        <v>24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64"/>
      <c r="J57" s="164"/>
      <c r="K57" s="164"/>
      <c r="L57" s="164"/>
      <c r="M57" s="164"/>
      <c r="N57" s="164"/>
      <c r="O57" s="150"/>
      <c r="P57" s="150"/>
      <c r="Q57" s="74" t="s">
        <v>133</v>
      </c>
    </row>
    <row r="58" spans="1:17" s="5" customFormat="1">
      <c r="A58" s="158"/>
      <c r="B58" s="161"/>
      <c r="C58" s="164"/>
      <c r="D58" s="176"/>
      <c r="E58" s="167"/>
      <c r="F58" s="37" t="s">
        <v>41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64"/>
      <c r="J58" s="164"/>
      <c r="K58" s="164"/>
      <c r="L58" s="164"/>
      <c r="M58" s="164"/>
      <c r="N58" s="164"/>
      <c r="O58" s="150"/>
      <c r="P58" s="150"/>
      <c r="Q58" s="74" t="s">
        <v>133</v>
      </c>
    </row>
    <row r="59" spans="1:17" s="5" customFormat="1">
      <c r="A59" s="158"/>
      <c r="B59" s="161"/>
      <c r="C59" s="164"/>
      <c r="D59" s="176"/>
      <c r="E59" s="167"/>
      <c r="F59" s="37" t="s">
        <v>42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64"/>
      <c r="J59" s="164"/>
      <c r="K59" s="164"/>
      <c r="L59" s="164"/>
      <c r="M59" s="164"/>
      <c r="N59" s="164"/>
      <c r="O59" s="150"/>
      <c r="P59" s="150"/>
      <c r="Q59" s="74" t="s">
        <v>133</v>
      </c>
    </row>
    <row r="60" spans="1:17" s="5" customFormat="1" ht="17.25" thickBot="1">
      <c r="A60" s="169"/>
      <c r="B60" s="170"/>
      <c r="C60" s="171"/>
      <c r="D60" s="183"/>
      <c r="E60" s="172"/>
      <c r="F60" s="38" t="s">
        <v>109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71"/>
      <c r="J60" s="171"/>
      <c r="K60" s="171"/>
      <c r="L60" s="171"/>
      <c r="M60" s="171"/>
      <c r="N60" s="171"/>
      <c r="O60" s="151"/>
      <c r="P60" s="151"/>
      <c r="Q60" s="76" t="s">
        <v>133</v>
      </c>
    </row>
    <row r="61" spans="1:17" s="5" customFormat="1">
      <c r="A61" s="157" t="s">
        <v>123</v>
      </c>
      <c r="B61" s="160" t="str">
        <f t="shared" si="6"/>
        <v>구매</v>
      </c>
      <c r="C61" s="163">
        <f>IFERROR(VLOOKUP(A61,'거래소 최저가'!F:G,2,FALSE),"")</f>
        <v>0</v>
      </c>
      <c r="D61" s="175">
        <f t="shared" si="1"/>
        <v>1</v>
      </c>
      <c r="E61" s="166">
        <f t="shared" si="7"/>
        <v>22</v>
      </c>
      <c r="F61" s="36" t="s">
        <v>28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63">
        <f>IF(ISBLANK(A61),"",SUM(H61:H$207)-SUM(I62:I$207))</f>
        <v>22</v>
      </c>
      <c r="J61" s="163">
        <v>288</v>
      </c>
      <c r="K61" s="163">
        <f>IF(J61=1,1,INT(J61*(1-IF(Q61="배틀아이템",검색!$I$23,IF(Q61="요리",검색!$J$23,IF(Q61="특수",검색!$K$23,IF(Q61="생활도구",검색!$L$23))))*0.01)))</f>
        <v>269</v>
      </c>
      <c r="L61" s="163">
        <v>1</v>
      </c>
      <c r="M61" s="163">
        <f>L61*(1+0.01*IF(Q61="배틀아이템",검색!$I$21,IF(Q61="요리",검색!$J$21,IF(Q61="특수",검색!$K$21,IF(Q61="생활도구",검색!$L$21)))))</f>
        <v>1.0525</v>
      </c>
      <c r="N61" s="163">
        <f t="shared" si="3"/>
        <v>-8.569702602230482E-2</v>
      </c>
      <c r="O61" s="149">
        <f t="shared" si="8"/>
        <v>-856.97026022304817</v>
      </c>
      <c r="P61" s="149">
        <f t="shared" si="5"/>
        <v>-896.09665427509299</v>
      </c>
      <c r="Q61" s="73" t="s">
        <v>133</v>
      </c>
    </row>
    <row r="62" spans="1:17" s="5" customFormat="1">
      <c r="A62" s="158"/>
      <c r="B62" s="161"/>
      <c r="C62" s="164"/>
      <c r="D62" s="176"/>
      <c r="E62" s="167"/>
      <c r="F62" s="37" t="s">
        <v>24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64"/>
      <c r="J62" s="164"/>
      <c r="K62" s="164"/>
      <c r="L62" s="164"/>
      <c r="M62" s="164"/>
      <c r="N62" s="164"/>
      <c r="O62" s="150"/>
      <c r="P62" s="150"/>
      <c r="Q62" s="74" t="s">
        <v>133</v>
      </c>
    </row>
    <row r="63" spans="1:17" s="5" customFormat="1">
      <c r="A63" s="158"/>
      <c r="B63" s="161"/>
      <c r="C63" s="164"/>
      <c r="D63" s="176"/>
      <c r="E63" s="167"/>
      <c r="F63" s="37" t="s">
        <v>41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64"/>
      <c r="J63" s="164"/>
      <c r="K63" s="164"/>
      <c r="L63" s="164"/>
      <c r="M63" s="164"/>
      <c r="N63" s="164"/>
      <c r="O63" s="150"/>
      <c r="P63" s="150"/>
      <c r="Q63" s="74" t="s">
        <v>133</v>
      </c>
    </row>
    <row r="64" spans="1:17" s="5" customFormat="1">
      <c r="A64" s="158"/>
      <c r="B64" s="161"/>
      <c r="C64" s="164"/>
      <c r="D64" s="176"/>
      <c r="E64" s="167"/>
      <c r="F64" s="37" t="s">
        <v>42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64"/>
      <c r="J64" s="164"/>
      <c r="K64" s="164"/>
      <c r="L64" s="164"/>
      <c r="M64" s="164"/>
      <c r="N64" s="164"/>
      <c r="O64" s="150"/>
      <c r="P64" s="150"/>
      <c r="Q64" s="74" t="s">
        <v>133</v>
      </c>
    </row>
    <row r="65" spans="1:17" s="5" customFormat="1">
      <c r="A65" s="158"/>
      <c r="B65" s="161"/>
      <c r="C65" s="164"/>
      <c r="D65" s="176"/>
      <c r="E65" s="167"/>
      <c r="F65" s="37" t="s">
        <v>43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64"/>
      <c r="J65" s="164"/>
      <c r="K65" s="164"/>
      <c r="L65" s="164"/>
      <c r="M65" s="164"/>
      <c r="N65" s="164"/>
      <c r="O65" s="150"/>
      <c r="P65" s="150"/>
      <c r="Q65" s="74" t="s">
        <v>133</v>
      </c>
    </row>
    <row r="66" spans="1:17" s="5" customFormat="1">
      <c r="A66" s="158"/>
      <c r="B66" s="161"/>
      <c r="C66" s="164"/>
      <c r="D66" s="176"/>
      <c r="E66" s="167"/>
      <c r="F66" s="37" t="s">
        <v>44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64"/>
      <c r="J66" s="164"/>
      <c r="K66" s="164"/>
      <c r="L66" s="164"/>
      <c r="M66" s="164"/>
      <c r="N66" s="164"/>
      <c r="O66" s="150"/>
      <c r="P66" s="150"/>
      <c r="Q66" s="74" t="s">
        <v>133</v>
      </c>
    </row>
    <row r="67" spans="1:17" s="5" customFormat="1" ht="17.25" thickBot="1">
      <c r="A67" s="169"/>
      <c r="B67" s="170"/>
      <c r="C67" s="171"/>
      <c r="D67" s="183"/>
      <c r="E67" s="172"/>
      <c r="F67" s="38" t="s">
        <v>19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22</v>
      </c>
      <c r="I67" s="171"/>
      <c r="J67" s="171"/>
      <c r="K67" s="171"/>
      <c r="L67" s="171"/>
      <c r="M67" s="171"/>
      <c r="N67" s="171"/>
      <c r="O67" s="151"/>
      <c r="P67" s="151"/>
      <c r="Q67" s="76" t="s">
        <v>133</v>
      </c>
    </row>
    <row r="68" spans="1:17" s="5" customFormat="1">
      <c r="A68" s="157" t="s">
        <v>124</v>
      </c>
      <c r="B68" s="160" t="str">
        <f t="shared" si="6"/>
        <v>구매</v>
      </c>
      <c r="C68" s="163">
        <f>IFERROR(VLOOKUP(A68,'거래소 최저가'!F:G,2,FALSE),"")</f>
        <v>0</v>
      </c>
      <c r="D68" s="175">
        <f t="shared" ref="D68:D127" si="16">IFERROR(INT(C68*0.05)+1,"")</f>
        <v>1</v>
      </c>
      <c r="E68" s="166">
        <f t="shared" si="7"/>
        <v>45</v>
      </c>
      <c r="F68" s="36" t="s">
        <v>28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63">
        <f>IF(ISBLANK(A68),"",SUM(H68:H$207)-SUM(I69:I$207))</f>
        <v>45</v>
      </c>
      <c r="J68" s="163">
        <v>288</v>
      </c>
      <c r="K68" s="163">
        <f>IF(J68=1,1,INT(J68*(1-IF(Q68="배틀아이템",검색!$I$23,IF(Q68="요리",검색!$J$23,IF(Q68="특수",검색!$K$23,IF(Q68="생활도구",검색!$L$23))))*0.01)))</f>
        <v>269</v>
      </c>
      <c r="L68" s="163">
        <v>1</v>
      </c>
      <c r="M68" s="163">
        <f>L68*(1+0.01*IF(Q68="배틀아이템",검색!$I$21,IF(Q68="요리",검색!$J$21,IF(Q68="특수",검색!$K$21,IF(Q68="생활도구",검색!$L$21)))))</f>
        <v>1.0525</v>
      </c>
      <c r="N68" s="163">
        <f t="shared" ref="N68:N127" si="17">IFERROR((((C68-D68)*M68-I68)/K68),"")</f>
        <v>-0.17119888475836431</v>
      </c>
      <c r="O68" s="149">
        <f t="shared" si="8"/>
        <v>-1711.9888475836431</v>
      </c>
      <c r="P68" s="149">
        <f t="shared" ref="P68:P127" si="18">((C68-D68-1)*M68-I68)/K68*10000</f>
        <v>-1751.1152416356877</v>
      </c>
      <c r="Q68" s="73" t="s">
        <v>133</v>
      </c>
    </row>
    <row r="69" spans="1:17" s="5" customFormat="1">
      <c r="A69" s="158"/>
      <c r="B69" s="161"/>
      <c r="C69" s="164"/>
      <c r="D69" s="176"/>
      <c r="E69" s="167"/>
      <c r="F69" s="37" t="s">
        <v>24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64"/>
      <c r="J69" s="164"/>
      <c r="K69" s="164"/>
      <c r="L69" s="164"/>
      <c r="M69" s="164"/>
      <c r="N69" s="164"/>
      <c r="O69" s="150"/>
      <c r="P69" s="150"/>
      <c r="Q69" s="74" t="s">
        <v>133</v>
      </c>
    </row>
    <row r="70" spans="1:17" s="5" customFormat="1">
      <c r="A70" s="158"/>
      <c r="B70" s="161"/>
      <c r="C70" s="164"/>
      <c r="D70" s="176"/>
      <c r="E70" s="167"/>
      <c r="F70" s="37" t="s">
        <v>41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64"/>
      <c r="J70" s="164"/>
      <c r="K70" s="164"/>
      <c r="L70" s="164"/>
      <c r="M70" s="164"/>
      <c r="N70" s="164"/>
      <c r="O70" s="150"/>
      <c r="P70" s="150"/>
      <c r="Q70" s="74" t="s">
        <v>133</v>
      </c>
    </row>
    <row r="71" spans="1:17" s="5" customFormat="1">
      <c r="A71" s="158"/>
      <c r="B71" s="161"/>
      <c r="C71" s="164"/>
      <c r="D71" s="176"/>
      <c r="E71" s="167"/>
      <c r="F71" s="37" t="s">
        <v>42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64"/>
      <c r="J71" s="164"/>
      <c r="K71" s="164"/>
      <c r="L71" s="164"/>
      <c r="M71" s="164"/>
      <c r="N71" s="164"/>
      <c r="O71" s="150"/>
      <c r="P71" s="150"/>
      <c r="Q71" s="74" t="s">
        <v>133</v>
      </c>
    </row>
    <row r="72" spans="1:17" s="5" customFormat="1">
      <c r="A72" s="158"/>
      <c r="B72" s="161"/>
      <c r="C72" s="164"/>
      <c r="D72" s="176"/>
      <c r="E72" s="167"/>
      <c r="F72" s="37" t="s">
        <v>29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64"/>
      <c r="J72" s="164"/>
      <c r="K72" s="164"/>
      <c r="L72" s="164"/>
      <c r="M72" s="164"/>
      <c r="N72" s="164"/>
      <c r="O72" s="150"/>
      <c r="P72" s="150"/>
      <c r="Q72" s="74" t="s">
        <v>133</v>
      </c>
    </row>
    <row r="73" spans="1:17" s="5" customFormat="1">
      <c r="A73" s="158"/>
      <c r="B73" s="161"/>
      <c r="C73" s="164"/>
      <c r="D73" s="176"/>
      <c r="E73" s="167"/>
      <c r="F73" s="37" t="s">
        <v>25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64"/>
      <c r="J73" s="164"/>
      <c r="K73" s="164"/>
      <c r="L73" s="164"/>
      <c r="M73" s="164"/>
      <c r="N73" s="164"/>
      <c r="O73" s="150"/>
      <c r="P73" s="150"/>
      <c r="Q73" s="74" t="s">
        <v>133</v>
      </c>
    </row>
    <row r="74" spans="1:17" s="5" customFormat="1" ht="17.25" thickBot="1">
      <c r="A74" s="169"/>
      <c r="B74" s="170"/>
      <c r="C74" s="171"/>
      <c r="D74" s="183"/>
      <c r="E74" s="172"/>
      <c r="F74" s="38" t="s">
        <v>19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45</v>
      </c>
      <c r="I74" s="171"/>
      <c r="J74" s="171"/>
      <c r="K74" s="171"/>
      <c r="L74" s="171"/>
      <c r="M74" s="171"/>
      <c r="N74" s="171"/>
      <c r="O74" s="151"/>
      <c r="P74" s="151"/>
      <c r="Q74" s="76" t="s">
        <v>133</v>
      </c>
    </row>
    <row r="75" spans="1:17" s="5" customFormat="1">
      <c r="A75" s="157" t="s">
        <v>45</v>
      </c>
      <c r="B75" s="160" t="str">
        <f t="shared" si="6"/>
        <v>제작</v>
      </c>
      <c r="C75" s="163" t="str">
        <f>IFERROR(VLOOKUP(A75,'거래소 최저가'!F:G,2,FALSE),"")</f>
        <v/>
      </c>
      <c r="D75" s="175" t="str">
        <f t="shared" si="16"/>
        <v/>
      </c>
      <c r="E75" s="166">
        <f t="shared" si="7"/>
        <v>9.3333333333333339</v>
      </c>
      <c r="F75" s="36" t="s">
        <v>11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63">
        <f>IF(ISBLANK(A75),"",SUM(H75:H$207)-SUM(I76:I$207))</f>
        <v>28</v>
      </c>
      <c r="J75" s="163">
        <v>288</v>
      </c>
      <c r="K75" s="163">
        <f>IF(J75=1,1,INT(J75*(1-IF(Q75="배틀아이템",검색!$I$23,IF(Q75="요리",검색!$J$23,IF(Q75="특수",검색!$K$23,IF(Q75="생활도구",검색!$L$23))))*0.01)))</f>
        <v>269</v>
      </c>
      <c r="L75" s="163">
        <v>3</v>
      </c>
      <c r="M75" s="163">
        <f>L75*(1+0.01*IF(Q75="배틀아이템",검색!$I$21,IF(Q75="요리",검색!$J$21,IF(Q75="특수",검색!$K$21,IF(Q75="생활도구",검색!$L$21)))))</f>
        <v>3.1500000000000004</v>
      </c>
      <c r="N75" s="163" t="str">
        <f t="shared" si="17"/>
        <v/>
      </c>
      <c r="O75" s="149" t="e">
        <f t="shared" si="8"/>
        <v>#VALUE!</v>
      </c>
      <c r="P75" s="149" t="e">
        <f t="shared" si="18"/>
        <v>#VALUE!</v>
      </c>
      <c r="Q75" s="73" t="s">
        <v>132</v>
      </c>
    </row>
    <row r="76" spans="1:17" s="5" customFormat="1">
      <c r="A76" s="158"/>
      <c r="B76" s="161"/>
      <c r="C76" s="164"/>
      <c r="D76" s="176"/>
      <c r="E76" s="167"/>
      <c r="F76" s="37" t="s">
        <v>32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64"/>
      <c r="J76" s="164"/>
      <c r="K76" s="164"/>
      <c r="L76" s="164"/>
      <c r="M76" s="164"/>
      <c r="N76" s="164"/>
      <c r="O76" s="150"/>
      <c r="P76" s="150"/>
      <c r="Q76" s="74" t="s">
        <v>132</v>
      </c>
    </row>
    <row r="77" spans="1:17" s="5" customFormat="1">
      <c r="A77" s="158"/>
      <c r="B77" s="161"/>
      <c r="C77" s="164"/>
      <c r="D77" s="176"/>
      <c r="E77" s="167"/>
      <c r="F77" s="37" t="s">
        <v>46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64"/>
      <c r="J77" s="164"/>
      <c r="K77" s="164"/>
      <c r="L77" s="164"/>
      <c r="M77" s="164"/>
      <c r="N77" s="164"/>
      <c r="O77" s="150"/>
      <c r="P77" s="150"/>
      <c r="Q77" s="74" t="s">
        <v>132</v>
      </c>
    </row>
    <row r="78" spans="1:17" s="5" customFormat="1">
      <c r="A78" s="158"/>
      <c r="B78" s="161"/>
      <c r="C78" s="164"/>
      <c r="D78" s="176"/>
      <c r="E78" s="167"/>
      <c r="F78" s="37" t="s">
        <v>12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64"/>
      <c r="J78" s="164"/>
      <c r="K78" s="164"/>
      <c r="L78" s="164"/>
      <c r="M78" s="164"/>
      <c r="N78" s="164"/>
      <c r="O78" s="150"/>
      <c r="P78" s="150"/>
      <c r="Q78" s="74" t="s">
        <v>132</v>
      </c>
    </row>
    <row r="79" spans="1:17" s="5" customFormat="1">
      <c r="A79" s="158"/>
      <c r="B79" s="161"/>
      <c r="C79" s="164"/>
      <c r="D79" s="176"/>
      <c r="E79" s="167"/>
      <c r="F79" s="37" t="s">
        <v>13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64"/>
      <c r="J79" s="164"/>
      <c r="K79" s="164"/>
      <c r="L79" s="164"/>
      <c r="M79" s="164"/>
      <c r="N79" s="164"/>
      <c r="O79" s="150"/>
      <c r="P79" s="150"/>
      <c r="Q79" s="74" t="s">
        <v>132</v>
      </c>
    </row>
    <row r="80" spans="1:17" s="5" customFormat="1" ht="17.25" thickBot="1">
      <c r="A80" s="169"/>
      <c r="B80" s="170"/>
      <c r="C80" s="171"/>
      <c r="D80" s="183"/>
      <c r="E80" s="172"/>
      <c r="F80" s="38" t="s">
        <v>19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28</v>
      </c>
      <c r="I80" s="171"/>
      <c r="J80" s="171"/>
      <c r="K80" s="171"/>
      <c r="L80" s="171"/>
      <c r="M80" s="171"/>
      <c r="N80" s="171"/>
      <c r="O80" s="151"/>
      <c r="P80" s="151"/>
      <c r="Q80" s="76" t="s">
        <v>132</v>
      </c>
    </row>
    <row r="81" spans="1:17" s="5" customFormat="1">
      <c r="A81" s="157" t="s">
        <v>47</v>
      </c>
      <c r="B81" s="160" t="str">
        <f t="shared" ref="B81:B112" si="19">IFERROR(IF(ISBLANK(A81),"",IF(C81&gt;E81,"제작","구매")),"")</f>
        <v>제작</v>
      </c>
      <c r="C81" s="163" t="str">
        <f>IFERROR(VLOOKUP(A81,'거래소 최저가'!F:G,2,FALSE),"")</f>
        <v/>
      </c>
      <c r="D81" s="175" t="str">
        <f t="shared" si="16"/>
        <v/>
      </c>
      <c r="E81" s="166">
        <f t="shared" ref="E81:E112" si="20">IFERROR(IF(ISBLANK(A81),"",I81/L81),"")</f>
        <v>9.3333333333333339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63">
        <f>IF(ISBLANK(A81),"",SUM(H81:H$207)-SUM(I82:I$207))</f>
        <v>28</v>
      </c>
      <c r="J81" s="163">
        <v>288</v>
      </c>
      <c r="K81" s="163">
        <f>IF(J81=1,1,INT(J81*(1-IF(Q81="배틀아이템",검색!$I$23,IF(Q81="요리",검색!$J$23,IF(Q81="특수",검색!$K$23,IF(Q81="생활도구",검색!$L$23))))*0.01)))</f>
        <v>269</v>
      </c>
      <c r="L81" s="163">
        <v>3</v>
      </c>
      <c r="M81" s="163">
        <f>L81*(1+0.01*IF(Q81="배틀아이템",검색!$I$21,IF(Q81="요리",검색!$J$21,IF(Q81="특수",검색!$K$21,IF(Q81="생활도구",검색!$L$21)))))</f>
        <v>3.1500000000000004</v>
      </c>
      <c r="N81" s="163" t="str">
        <f t="shared" si="17"/>
        <v/>
      </c>
      <c r="O81" s="149" t="e">
        <f t="shared" ref="O81:O112" si="21">N81*10000</f>
        <v>#VALUE!</v>
      </c>
      <c r="P81" s="149" t="e">
        <f t="shared" si="18"/>
        <v>#VALUE!</v>
      </c>
      <c r="Q81" s="73" t="s">
        <v>132</v>
      </c>
    </row>
    <row r="82" spans="1:17" s="5" customFormat="1">
      <c r="A82" s="158"/>
      <c r="B82" s="161"/>
      <c r="C82" s="164"/>
      <c r="D82" s="176"/>
      <c r="E82" s="167"/>
      <c r="F82" s="37" t="s">
        <v>32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64"/>
      <c r="J82" s="164"/>
      <c r="K82" s="164"/>
      <c r="L82" s="164"/>
      <c r="M82" s="164"/>
      <c r="N82" s="164"/>
      <c r="O82" s="150"/>
      <c r="P82" s="150"/>
      <c r="Q82" s="74" t="s">
        <v>132</v>
      </c>
    </row>
    <row r="83" spans="1:17" s="5" customFormat="1">
      <c r="A83" s="158"/>
      <c r="B83" s="161"/>
      <c r="C83" s="164"/>
      <c r="D83" s="176"/>
      <c r="E83" s="167"/>
      <c r="F83" s="37" t="s">
        <v>8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64"/>
      <c r="J83" s="164"/>
      <c r="K83" s="164"/>
      <c r="L83" s="164"/>
      <c r="M83" s="164"/>
      <c r="N83" s="164"/>
      <c r="O83" s="150"/>
      <c r="P83" s="150"/>
      <c r="Q83" s="74" t="s">
        <v>132</v>
      </c>
    </row>
    <row r="84" spans="1:17" s="5" customFormat="1">
      <c r="A84" s="158"/>
      <c r="B84" s="161"/>
      <c r="C84" s="164"/>
      <c r="D84" s="176"/>
      <c r="E84" s="167"/>
      <c r="F84" s="37" t="s">
        <v>48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64"/>
      <c r="J84" s="164"/>
      <c r="K84" s="164"/>
      <c r="L84" s="164"/>
      <c r="M84" s="164"/>
      <c r="N84" s="164"/>
      <c r="O84" s="150"/>
      <c r="P84" s="150"/>
      <c r="Q84" s="74" t="s">
        <v>132</v>
      </c>
    </row>
    <row r="85" spans="1:17" s="5" customFormat="1">
      <c r="A85" s="158"/>
      <c r="B85" s="161"/>
      <c r="C85" s="164"/>
      <c r="D85" s="176"/>
      <c r="E85" s="167"/>
      <c r="F85" s="37" t="s">
        <v>18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64"/>
      <c r="J85" s="164"/>
      <c r="K85" s="164"/>
      <c r="L85" s="164"/>
      <c r="M85" s="164"/>
      <c r="N85" s="164"/>
      <c r="O85" s="150"/>
      <c r="P85" s="150"/>
      <c r="Q85" s="74" t="s">
        <v>132</v>
      </c>
    </row>
    <row r="86" spans="1:17" s="5" customFormat="1" ht="17.25" thickBot="1">
      <c r="A86" s="169"/>
      <c r="B86" s="170"/>
      <c r="C86" s="171"/>
      <c r="D86" s="183"/>
      <c r="E86" s="172"/>
      <c r="F86" s="38" t="s">
        <v>19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28</v>
      </c>
      <c r="I86" s="171"/>
      <c r="J86" s="171"/>
      <c r="K86" s="171"/>
      <c r="L86" s="171"/>
      <c r="M86" s="171"/>
      <c r="N86" s="171"/>
      <c r="O86" s="151"/>
      <c r="P86" s="151"/>
      <c r="Q86" s="76" t="s">
        <v>132</v>
      </c>
    </row>
    <row r="87" spans="1:17" s="5" customFormat="1">
      <c r="A87" s="157" t="s">
        <v>49</v>
      </c>
      <c r="B87" s="160" t="str">
        <f t="shared" si="19"/>
        <v>제작</v>
      </c>
      <c r="C87" s="163" t="str">
        <f>IFERROR(VLOOKUP(A87,'거래소 최저가'!F:G,2,FALSE),"")</f>
        <v/>
      </c>
      <c r="D87" s="175" t="str">
        <f t="shared" si="16"/>
        <v/>
      </c>
      <c r="E87" s="166">
        <f t="shared" si="20"/>
        <v>9.3333333333333339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63">
        <f>IF(ISBLANK(A87),"",SUM(H87:H$207)-SUM(I88:I$207))</f>
        <v>28</v>
      </c>
      <c r="J87" s="163">
        <v>288</v>
      </c>
      <c r="K87" s="163">
        <f>IF(J87=1,1,INT(J87*(1-IF(Q87="배틀아이템",검색!$I$23,IF(Q87="요리",검색!$J$23,IF(Q87="특수",검색!$K$23,IF(Q87="생활도구",검색!$L$23))))*0.01)))</f>
        <v>269</v>
      </c>
      <c r="L87" s="163">
        <v>3</v>
      </c>
      <c r="M87" s="163">
        <f>L87*(1+0.01*IF(Q87="배틀아이템",검색!$I$21,IF(Q87="요리",검색!$J$21,IF(Q87="특수",검색!$K$21,IF(Q87="생활도구",검색!$L$21)))))</f>
        <v>3.1500000000000004</v>
      </c>
      <c r="N87" s="163" t="str">
        <f t="shared" si="17"/>
        <v/>
      </c>
      <c r="O87" s="149" t="e">
        <f t="shared" si="21"/>
        <v>#VALUE!</v>
      </c>
      <c r="P87" s="149" t="e">
        <f t="shared" si="18"/>
        <v>#VALUE!</v>
      </c>
      <c r="Q87" s="73" t="s">
        <v>132</v>
      </c>
    </row>
    <row r="88" spans="1:17" s="5" customFormat="1">
      <c r="A88" s="158"/>
      <c r="B88" s="161"/>
      <c r="C88" s="164"/>
      <c r="D88" s="176"/>
      <c r="E88" s="167"/>
      <c r="F88" s="37" t="s">
        <v>32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64"/>
      <c r="J88" s="164"/>
      <c r="K88" s="164"/>
      <c r="L88" s="164"/>
      <c r="M88" s="164"/>
      <c r="N88" s="164"/>
      <c r="O88" s="150"/>
      <c r="P88" s="150"/>
      <c r="Q88" s="74" t="s">
        <v>132</v>
      </c>
    </row>
    <row r="89" spans="1:17" s="5" customFormat="1">
      <c r="A89" s="158"/>
      <c r="B89" s="161"/>
      <c r="C89" s="164"/>
      <c r="D89" s="176"/>
      <c r="E89" s="167"/>
      <c r="F89" s="37" t="s">
        <v>8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64"/>
      <c r="J89" s="164"/>
      <c r="K89" s="164"/>
      <c r="L89" s="164"/>
      <c r="M89" s="164"/>
      <c r="N89" s="164"/>
      <c r="O89" s="150"/>
      <c r="P89" s="150"/>
      <c r="Q89" s="74" t="s">
        <v>132</v>
      </c>
    </row>
    <row r="90" spans="1:17" s="5" customFormat="1">
      <c r="A90" s="158"/>
      <c r="B90" s="161"/>
      <c r="C90" s="164"/>
      <c r="D90" s="176"/>
      <c r="E90" s="167"/>
      <c r="F90" s="37" t="s">
        <v>46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64"/>
      <c r="J90" s="164"/>
      <c r="K90" s="164"/>
      <c r="L90" s="164"/>
      <c r="M90" s="164"/>
      <c r="N90" s="164"/>
      <c r="O90" s="150"/>
      <c r="P90" s="150"/>
      <c r="Q90" s="74" t="s">
        <v>132</v>
      </c>
    </row>
    <row r="91" spans="1:17" s="5" customFormat="1">
      <c r="A91" s="158"/>
      <c r="B91" s="161"/>
      <c r="C91" s="164"/>
      <c r="D91" s="176"/>
      <c r="E91" s="167"/>
      <c r="F91" s="37" t="s">
        <v>18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64"/>
      <c r="J91" s="164"/>
      <c r="K91" s="164"/>
      <c r="L91" s="164"/>
      <c r="M91" s="164"/>
      <c r="N91" s="164"/>
      <c r="O91" s="150"/>
      <c r="P91" s="150"/>
      <c r="Q91" s="74" t="s">
        <v>132</v>
      </c>
    </row>
    <row r="92" spans="1:17" s="5" customFormat="1" ht="17.25" thickBot="1">
      <c r="A92" s="169"/>
      <c r="B92" s="170"/>
      <c r="C92" s="171"/>
      <c r="D92" s="183"/>
      <c r="E92" s="172"/>
      <c r="F92" s="38" t="s">
        <v>19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28</v>
      </c>
      <c r="I92" s="171"/>
      <c r="J92" s="171"/>
      <c r="K92" s="171"/>
      <c r="L92" s="171"/>
      <c r="M92" s="171"/>
      <c r="N92" s="171"/>
      <c r="O92" s="151"/>
      <c r="P92" s="151"/>
      <c r="Q92" s="76" t="s">
        <v>132</v>
      </c>
    </row>
    <row r="93" spans="1:17" s="5" customFormat="1">
      <c r="A93" s="157" t="s">
        <v>56</v>
      </c>
      <c r="B93" s="160" t="str">
        <f t="shared" si="19"/>
        <v>제작</v>
      </c>
      <c r="C93" s="163" t="str">
        <f>IFERROR(VLOOKUP(A93,'거래소 최저가'!F:G,2,FALSE),"")</f>
        <v/>
      </c>
      <c r="D93" s="175" t="str">
        <f t="shared" si="16"/>
        <v/>
      </c>
      <c r="E93" s="166">
        <f t="shared" si="20"/>
        <v>4.666666666666667</v>
      </c>
      <c r="F93" s="36" t="s">
        <v>11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63">
        <f>IF(ISBLANK(A93),"",SUM(H93:H$207)-SUM(I94:I$207))</f>
        <v>14</v>
      </c>
      <c r="J93" s="163">
        <v>144</v>
      </c>
      <c r="K93" s="163">
        <f>IF(J93=1,1,INT(J93*(1-IF(Q93="배틀아이템",검색!$I$23,IF(Q93="요리",검색!$J$23,IF(Q93="특수",검색!$K$23,IF(Q93="생활도구",검색!$L$23))))*0.01)))</f>
        <v>134</v>
      </c>
      <c r="L93" s="163">
        <v>3</v>
      </c>
      <c r="M93" s="163">
        <f>L93*(1+0.01*IF(Q93="배틀아이템",검색!$I$21,IF(Q93="요리",검색!$J$21,IF(Q93="특수",검색!$K$21,IF(Q93="생활도구",검색!$L$21)))))</f>
        <v>3.1500000000000004</v>
      </c>
      <c r="N93" s="163" t="str">
        <f t="shared" si="17"/>
        <v/>
      </c>
      <c r="O93" s="149" t="e">
        <f t="shared" si="21"/>
        <v>#VALUE!</v>
      </c>
      <c r="P93" s="149" t="e">
        <f t="shared" si="18"/>
        <v>#VALUE!</v>
      </c>
      <c r="Q93" s="73" t="s">
        <v>132</v>
      </c>
    </row>
    <row r="94" spans="1:17" s="5" customFormat="1">
      <c r="A94" s="158"/>
      <c r="B94" s="161"/>
      <c r="C94" s="164"/>
      <c r="D94" s="176"/>
      <c r="E94" s="167"/>
      <c r="F94" s="37" t="s">
        <v>57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64"/>
      <c r="J94" s="164"/>
      <c r="K94" s="164"/>
      <c r="L94" s="164"/>
      <c r="M94" s="164"/>
      <c r="N94" s="164"/>
      <c r="O94" s="150"/>
      <c r="P94" s="150"/>
      <c r="Q94" s="74" t="s">
        <v>132</v>
      </c>
    </row>
    <row r="95" spans="1:17" s="5" customFormat="1">
      <c r="A95" s="158"/>
      <c r="B95" s="161"/>
      <c r="C95" s="164"/>
      <c r="D95" s="176"/>
      <c r="E95" s="167"/>
      <c r="F95" s="37" t="s">
        <v>12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64"/>
      <c r="J95" s="164"/>
      <c r="K95" s="164"/>
      <c r="L95" s="164"/>
      <c r="M95" s="164"/>
      <c r="N95" s="164"/>
      <c r="O95" s="150"/>
      <c r="P95" s="150"/>
      <c r="Q95" s="74" t="s">
        <v>132</v>
      </c>
    </row>
    <row r="96" spans="1:17" s="5" customFormat="1">
      <c r="A96" s="158"/>
      <c r="B96" s="161"/>
      <c r="C96" s="164"/>
      <c r="D96" s="176"/>
      <c r="E96" s="167"/>
      <c r="F96" s="37" t="s">
        <v>13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64"/>
      <c r="J96" s="164"/>
      <c r="K96" s="164"/>
      <c r="L96" s="164"/>
      <c r="M96" s="164"/>
      <c r="N96" s="164"/>
      <c r="O96" s="150"/>
      <c r="P96" s="150"/>
      <c r="Q96" s="74" t="s">
        <v>132</v>
      </c>
    </row>
    <row r="97" spans="1:17" s="5" customFormat="1" ht="17.25" thickBot="1">
      <c r="A97" s="169"/>
      <c r="B97" s="170"/>
      <c r="C97" s="171"/>
      <c r="D97" s="183"/>
      <c r="E97" s="172"/>
      <c r="F97" s="38" t="s">
        <v>19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14</v>
      </c>
      <c r="I97" s="171"/>
      <c r="J97" s="171"/>
      <c r="K97" s="171"/>
      <c r="L97" s="171"/>
      <c r="M97" s="171"/>
      <c r="N97" s="171"/>
      <c r="O97" s="151"/>
      <c r="P97" s="151"/>
      <c r="Q97" s="76" t="s">
        <v>132</v>
      </c>
    </row>
    <row r="98" spans="1:17" s="5" customFormat="1">
      <c r="A98" s="157" t="s">
        <v>51</v>
      </c>
      <c r="B98" s="160" t="str">
        <f t="shared" si="19"/>
        <v>제작</v>
      </c>
      <c r="C98" s="163" t="str">
        <f>IFERROR(VLOOKUP(A98,'거래소 최저가'!F:G,2,FALSE),"")</f>
        <v/>
      </c>
      <c r="D98" s="175" t="str">
        <f t="shared" si="16"/>
        <v/>
      </c>
      <c r="E98" s="166">
        <f t="shared" si="20"/>
        <v>4.666666666666667</v>
      </c>
      <c r="F98" s="36" t="s">
        <v>11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63">
        <f>IF(ISBLANK(A98),"",SUM(H98:H$207)-SUM(I99:I$207))</f>
        <v>14</v>
      </c>
      <c r="J98" s="163">
        <v>144</v>
      </c>
      <c r="K98" s="163">
        <f>IF(J98=1,1,INT(J98*(1-IF(Q98="배틀아이템",검색!$I$23,IF(Q98="요리",검색!$J$23,IF(Q98="특수",검색!$K$23,IF(Q98="생활도구",검색!$L$23))))*0.01)))</f>
        <v>134</v>
      </c>
      <c r="L98" s="163">
        <v>3</v>
      </c>
      <c r="M98" s="163">
        <f>L98*(1+0.01*IF(Q98="배틀아이템",검색!$I$21,IF(Q98="요리",검색!$J$21,IF(Q98="특수",검색!$K$21,IF(Q98="생활도구",검색!$L$21)))))</f>
        <v>3.1500000000000004</v>
      </c>
      <c r="N98" s="163" t="str">
        <f t="shared" si="17"/>
        <v/>
      </c>
      <c r="O98" s="149" t="e">
        <f t="shared" si="21"/>
        <v>#VALUE!</v>
      </c>
      <c r="P98" s="149" t="e">
        <f t="shared" si="18"/>
        <v>#VALUE!</v>
      </c>
      <c r="Q98" s="73" t="s">
        <v>132</v>
      </c>
    </row>
    <row r="99" spans="1:17" s="5" customFormat="1">
      <c r="A99" s="158"/>
      <c r="B99" s="161"/>
      <c r="C99" s="164"/>
      <c r="D99" s="176"/>
      <c r="E99" s="167"/>
      <c r="F99" s="37" t="s">
        <v>57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64"/>
      <c r="J99" s="164"/>
      <c r="K99" s="164"/>
      <c r="L99" s="164"/>
      <c r="M99" s="164"/>
      <c r="N99" s="164"/>
      <c r="O99" s="150"/>
      <c r="P99" s="150"/>
      <c r="Q99" s="74" t="s">
        <v>132</v>
      </c>
    </row>
    <row r="100" spans="1:17" s="5" customFormat="1">
      <c r="A100" s="158"/>
      <c r="B100" s="161"/>
      <c r="C100" s="164"/>
      <c r="D100" s="176"/>
      <c r="E100" s="167"/>
      <c r="F100" s="37" t="s">
        <v>12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64"/>
      <c r="J100" s="164"/>
      <c r="K100" s="164"/>
      <c r="L100" s="164"/>
      <c r="M100" s="164"/>
      <c r="N100" s="164"/>
      <c r="O100" s="150"/>
      <c r="P100" s="150"/>
      <c r="Q100" s="74" t="s">
        <v>132</v>
      </c>
    </row>
    <row r="101" spans="1:17" s="5" customFormat="1">
      <c r="A101" s="158"/>
      <c r="B101" s="161"/>
      <c r="C101" s="164"/>
      <c r="D101" s="176"/>
      <c r="E101" s="167"/>
      <c r="F101" s="37" t="s">
        <v>13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64"/>
      <c r="J101" s="164"/>
      <c r="K101" s="164"/>
      <c r="L101" s="164"/>
      <c r="M101" s="164"/>
      <c r="N101" s="164"/>
      <c r="O101" s="150"/>
      <c r="P101" s="150"/>
      <c r="Q101" s="74" t="s">
        <v>132</v>
      </c>
    </row>
    <row r="102" spans="1:17" s="5" customFormat="1" ht="17.25" thickBot="1">
      <c r="A102" s="169"/>
      <c r="B102" s="170"/>
      <c r="C102" s="171"/>
      <c r="D102" s="183"/>
      <c r="E102" s="172"/>
      <c r="F102" s="38" t="s">
        <v>19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14</v>
      </c>
      <c r="I102" s="171"/>
      <c r="J102" s="171"/>
      <c r="K102" s="171"/>
      <c r="L102" s="171"/>
      <c r="M102" s="171"/>
      <c r="N102" s="171"/>
      <c r="O102" s="151"/>
      <c r="P102" s="151"/>
      <c r="Q102" s="76" t="s">
        <v>132</v>
      </c>
    </row>
    <row r="103" spans="1:17" s="12" customFormat="1">
      <c r="A103" s="157" t="s">
        <v>52</v>
      </c>
      <c r="B103" s="160" t="str">
        <f t="shared" si="19"/>
        <v>제작</v>
      </c>
      <c r="C103" s="163" t="str">
        <f>IFERROR(VLOOKUP(A103,'거래소 최저가'!F:G,2,FALSE),"")</f>
        <v/>
      </c>
      <c r="D103" s="175" t="str">
        <f t="shared" si="16"/>
        <v/>
      </c>
      <c r="E103" s="166">
        <f t="shared" si="20"/>
        <v>4.666666666666667</v>
      </c>
      <c r="F103" s="36" t="s">
        <v>11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63">
        <f>IF(ISBLANK(A103),"",SUM(H103:H$207)-SUM(I104:I$207))</f>
        <v>14</v>
      </c>
      <c r="J103" s="163">
        <v>144</v>
      </c>
      <c r="K103" s="163">
        <f>IF(J103=1,1,INT(J103*(1-IF(Q103="배틀아이템",검색!$I$23,IF(Q103="요리",검색!$J$23,IF(Q103="특수",검색!$K$23,IF(Q103="생활도구",검색!$L$23))))*0.01)))</f>
        <v>134</v>
      </c>
      <c r="L103" s="163">
        <v>3</v>
      </c>
      <c r="M103" s="163">
        <f>L103*(1+0.01*IF(Q103="배틀아이템",검색!$I$21,IF(Q103="요리",검색!$J$21,IF(Q103="특수",검색!$K$21,IF(Q103="생활도구",검색!$L$21)))))</f>
        <v>3.1500000000000004</v>
      </c>
      <c r="N103" s="163" t="str">
        <f t="shared" si="17"/>
        <v/>
      </c>
      <c r="O103" s="149" t="e">
        <f t="shared" si="21"/>
        <v>#VALUE!</v>
      </c>
      <c r="P103" s="149" t="e">
        <f t="shared" si="18"/>
        <v>#VALUE!</v>
      </c>
      <c r="Q103" s="73" t="s">
        <v>132</v>
      </c>
    </row>
    <row r="104" spans="1:17" s="10" customFormat="1">
      <c r="A104" s="158"/>
      <c r="B104" s="161"/>
      <c r="C104" s="164"/>
      <c r="D104" s="176"/>
      <c r="E104" s="167"/>
      <c r="F104" s="37" t="s">
        <v>57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64"/>
      <c r="J104" s="164"/>
      <c r="K104" s="164"/>
      <c r="L104" s="164"/>
      <c r="M104" s="164"/>
      <c r="N104" s="164"/>
      <c r="O104" s="150"/>
      <c r="P104" s="150"/>
      <c r="Q104" s="74" t="s">
        <v>132</v>
      </c>
    </row>
    <row r="105" spans="1:17" s="10" customFormat="1">
      <c r="A105" s="158"/>
      <c r="B105" s="161"/>
      <c r="C105" s="164"/>
      <c r="D105" s="176"/>
      <c r="E105" s="167"/>
      <c r="F105" s="37" t="s">
        <v>12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64"/>
      <c r="J105" s="164"/>
      <c r="K105" s="164"/>
      <c r="L105" s="164"/>
      <c r="M105" s="164"/>
      <c r="N105" s="164"/>
      <c r="O105" s="150"/>
      <c r="P105" s="150"/>
      <c r="Q105" s="74" t="s">
        <v>132</v>
      </c>
    </row>
    <row r="106" spans="1:17" s="10" customFormat="1">
      <c r="A106" s="158"/>
      <c r="B106" s="161"/>
      <c r="C106" s="164"/>
      <c r="D106" s="176"/>
      <c r="E106" s="167"/>
      <c r="F106" s="37" t="s">
        <v>13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64"/>
      <c r="J106" s="164"/>
      <c r="K106" s="164"/>
      <c r="L106" s="164"/>
      <c r="M106" s="164"/>
      <c r="N106" s="164"/>
      <c r="O106" s="150"/>
      <c r="P106" s="150"/>
      <c r="Q106" s="74" t="s">
        <v>132</v>
      </c>
    </row>
    <row r="107" spans="1:17" s="17" customFormat="1" ht="17.25" thickBot="1">
      <c r="A107" s="169"/>
      <c r="B107" s="170"/>
      <c r="C107" s="171"/>
      <c r="D107" s="183"/>
      <c r="E107" s="172"/>
      <c r="F107" s="38" t="s">
        <v>19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14</v>
      </c>
      <c r="I107" s="171"/>
      <c r="J107" s="171"/>
      <c r="K107" s="171"/>
      <c r="L107" s="171"/>
      <c r="M107" s="171"/>
      <c r="N107" s="171"/>
      <c r="O107" s="151"/>
      <c r="P107" s="151"/>
      <c r="Q107" s="76" t="s">
        <v>132</v>
      </c>
    </row>
    <row r="108" spans="1:17">
      <c r="A108" s="157" t="s">
        <v>58</v>
      </c>
      <c r="B108" s="160" t="str">
        <f t="shared" si="19"/>
        <v>제작</v>
      </c>
      <c r="C108" s="163" t="str">
        <f>IFERROR(VLOOKUP(A108,'거래소 최저가'!F:G,2,FALSE),"")</f>
        <v/>
      </c>
      <c r="D108" s="175" t="str">
        <f t="shared" si="16"/>
        <v/>
      </c>
      <c r="E108" s="166">
        <f t="shared" si="20"/>
        <v>4.666666666666667</v>
      </c>
      <c r="F108" s="36" t="s">
        <v>11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63">
        <f>IF(ISBLANK(A108),"",SUM(H108:H$207)-SUM(I109:I$207))</f>
        <v>14</v>
      </c>
      <c r="J108" s="163">
        <v>144</v>
      </c>
      <c r="K108" s="163">
        <f>IF(J108=1,1,INT(J108*(1-IF(Q108="배틀아이템",검색!$I$23,IF(Q108="요리",검색!$J$23,IF(Q108="특수",검색!$K$23,IF(Q108="생활도구",검색!$L$23))))*0.01)))</f>
        <v>134</v>
      </c>
      <c r="L108" s="163">
        <v>3</v>
      </c>
      <c r="M108" s="163">
        <f>L108*(1+0.01*IF(Q108="배틀아이템",검색!$I$21,IF(Q108="요리",검색!$J$21,IF(Q108="특수",검색!$K$21,IF(Q108="생활도구",검색!$L$21)))))</f>
        <v>3.1500000000000004</v>
      </c>
      <c r="N108" s="163" t="str">
        <f t="shared" si="17"/>
        <v/>
      </c>
      <c r="O108" s="149" t="e">
        <f t="shared" si="21"/>
        <v>#VALUE!</v>
      </c>
      <c r="P108" s="149" t="e">
        <f t="shared" si="18"/>
        <v>#VALUE!</v>
      </c>
      <c r="Q108" s="73" t="s">
        <v>132</v>
      </c>
    </row>
    <row r="109" spans="1:17">
      <c r="A109" s="158"/>
      <c r="B109" s="161"/>
      <c r="C109" s="164"/>
      <c r="D109" s="176"/>
      <c r="E109" s="167"/>
      <c r="F109" s="37" t="s">
        <v>12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64"/>
      <c r="J109" s="164"/>
      <c r="K109" s="164"/>
      <c r="L109" s="164"/>
      <c r="M109" s="164"/>
      <c r="N109" s="164"/>
      <c r="O109" s="150"/>
      <c r="P109" s="150"/>
      <c r="Q109" s="74" t="s">
        <v>132</v>
      </c>
    </row>
    <row r="110" spans="1:17">
      <c r="A110" s="158"/>
      <c r="B110" s="161"/>
      <c r="C110" s="164"/>
      <c r="D110" s="176"/>
      <c r="E110" s="167"/>
      <c r="F110" s="37" t="s">
        <v>13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64"/>
      <c r="J110" s="164"/>
      <c r="K110" s="164"/>
      <c r="L110" s="164"/>
      <c r="M110" s="164"/>
      <c r="N110" s="164"/>
      <c r="O110" s="150"/>
      <c r="P110" s="150"/>
      <c r="Q110" s="74" t="s">
        <v>132</v>
      </c>
    </row>
    <row r="111" spans="1:17" ht="17.25" thickBot="1">
      <c r="A111" s="169"/>
      <c r="B111" s="170"/>
      <c r="C111" s="171"/>
      <c r="D111" s="183"/>
      <c r="E111" s="172"/>
      <c r="F111" s="38" t="s">
        <v>19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14</v>
      </c>
      <c r="I111" s="171"/>
      <c r="J111" s="171"/>
      <c r="K111" s="171"/>
      <c r="L111" s="171"/>
      <c r="M111" s="171"/>
      <c r="N111" s="171"/>
      <c r="O111" s="151"/>
      <c r="P111" s="151"/>
      <c r="Q111" s="76" t="s">
        <v>132</v>
      </c>
    </row>
    <row r="112" spans="1:17">
      <c r="A112" s="157" t="s">
        <v>59</v>
      </c>
      <c r="B112" s="160" t="str">
        <f t="shared" si="19"/>
        <v>제작</v>
      </c>
      <c r="C112" s="163" t="str">
        <f>IFERROR(VLOOKUP(A112,'거래소 최저가'!A:B,2,FALSE),"")</f>
        <v/>
      </c>
      <c r="D112" s="175" t="str">
        <f t="shared" si="16"/>
        <v/>
      </c>
      <c r="E112" s="166">
        <f t="shared" si="20"/>
        <v>0.6333333333333333</v>
      </c>
      <c r="F112" s="36" t="s">
        <v>57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63">
        <f>IF(ISBLANK(A112),"",SUM(H112:H$207)-SUM(I113:I$207))</f>
        <v>19</v>
      </c>
      <c r="J112" s="163">
        <v>288</v>
      </c>
      <c r="K112" s="163">
        <f>IF(J112=1,1,INT(J112*(1-IF(Q112="배틀아이템",검색!$I$23,IF(Q112="요리",검색!$J$23,IF(Q112="특수",검색!$K$23,IF(Q112="생활도구",검색!$L$23))))*0.01)))</f>
        <v>269</v>
      </c>
      <c r="L112" s="163">
        <v>30</v>
      </c>
      <c r="M112" s="163">
        <f>L112*(1+0.01*IF(Q112="배틀아이템",검색!$I$21,IF(Q112="요리",검색!$J$21,IF(Q112="특수",검색!$K$21,IF(Q112="생활도구",검색!$L$21)))))</f>
        <v>31.5</v>
      </c>
      <c r="N112" s="163" t="str">
        <f t="shared" si="17"/>
        <v/>
      </c>
      <c r="O112" s="149" t="e">
        <f t="shared" si="21"/>
        <v>#VALUE!</v>
      </c>
      <c r="P112" s="149" t="e">
        <f t="shared" si="18"/>
        <v>#VALUE!</v>
      </c>
      <c r="Q112" s="73" t="s">
        <v>132</v>
      </c>
    </row>
    <row r="113" spans="1:17">
      <c r="A113" s="158"/>
      <c r="B113" s="161"/>
      <c r="C113" s="164"/>
      <c r="D113" s="176"/>
      <c r="E113" s="167"/>
      <c r="F113" s="37" t="s">
        <v>14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64"/>
      <c r="J113" s="164"/>
      <c r="K113" s="164"/>
      <c r="L113" s="164"/>
      <c r="M113" s="164"/>
      <c r="N113" s="164"/>
      <c r="O113" s="150"/>
      <c r="P113" s="150"/>
      <c r="Q113" s="74" t="s">
        <v>132</v>
      </c>
    </row>
    <row r="114" spans="1:17">
      <c r="A114" s="158"/>
      <c r="B114" s="161"/>
      <c r="C114" s="164"/>
      <c r="D114" s="176"/>
      <c r="E114" s="167"/>
      <c r="F114" s="37" t="s">
        <v>46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64"/>
      <c r="J114" s="164"/>
      <c r="K114" s="164"/>
      <c r="L114" s="164"/>
      <c r="M114" s="164"/>
      <c r="N114" s="164"/>
      <c r="O114" s="150"/>
      <c r="P114" s="150"/>
      <c r="Q114" s="74" t="s">
        <v>132</v>
      </c>
    </row>
    <row r="115" spans="1:17">
      <c r="A115" s="158"/>
      <c r="B115" s="161"/>
      <c r="C115" s="164"/>
      <c r="D115" s="176"/>
      <c r="E115" s="167"/>
      <c r="F115" s="37" t="s">
        <v>48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64"/>
      <c r="J115" s="164"/>
      <c r="K115" s="164"/>
      <c r="L115" s="164"/>
      <c r="M115" s="164"/>
      <c r="N115" s="164"/>
      <c r="O115" s="150"/>
      <c r="P115" s="150"/>
      <c r="Q115" s="74" t="s">
        <v>132</v>
      </c>
    </row>
    <row r="116" spans="1:17" ht="17.25" thickBot="1">
      <c r="A116" s="169"/>
      <c r="B116" s="170"/>
      <c r="C116" s="171"/>
      <c r="D116" s="183"/>
      <c r="E116" s="172"/>
      <c r="F116" s="38" t="s">
        <v>19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19</v>
      </c>
      <c r="I116" s="171"/>
      <c r="J116" s="171"/>
      <c r="K116" s="171"/>
      <c r="L116" s="171"/>
      <c r="M116" s="171"/>
      <c r="N116" s="171"/>
      <c r="O116" s="151"/>
      <c r="P116" s="151"/>
      <c r="Q116" s="76" t="s">
        <v>132</v>
      </c>
    </row>
    <row r="117" spans="1:17">
      <c r="A117" s="157" t="s">
        <v>77</v>
      </c>
      <c r="B117" s="160" t="str">
        <f t="shared" ref="B117:B142" si="22">IFERROR(IF(ISBLANK(A117),"",IF(C117&gt;E117,"제작","구매")),"")</f>
        <v>제작</v>
      </c>
      <c r="C117" s="163" t="str">
        <f>IFERROR(VLOOKUP(A117,'거래소 최저가'!F:G,2,FALSE),"")</f>
        <v/>
      </c>
      <c r="D117" s="175" t="str">
        <f t="shared" si="16"/>
        <v/>
      </c>
      <c r="E117" s="166">
        <f t="shared" ref="E117:E142" si="23">IFERROR(IF(ISBLANK(A117),"",I117/L117),"")</f>
        <v>4.666666666666667</v>
      </c>
      <c r="F117" s="36" t="s">
        <v>11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63">
        <f>IF(ISBLANK(A117),"",SUM(H117:H$207)-SUM(I118:I$207))</f>
        <v>14</v>
      </c>
      <c r="J117" s="163">
        <v>144</v>
      </c>
      <c r="K117" s="163">
        <f>IF(J117=1,1,INT(J117*(1-IF(Q117="배틀아이템",검색!$I$23,IF(Q117="요리",검색!$J$23,IF(Q117="특수",검색!$K$23,IF(Q117="생활도구",검색!$L$23))))*0.01)))</f>
        <v>134</v>
      </c>
      <c r="L117" s="163">
        <v>3</v>
      </c>
      <c r="M117" s="163">
        <f>L117*(1+0.01*IF(Q117="배틀아이템",검색!$I$21,IF(Q117="요리",검색!$J$21,IF(Q117="특수",검색!$K$21,IF(Q117="생활도구",검색!$L$21)))))</f>
        <v>3.1500000000000004</v>
      </c>
      <c r="N117" s="163" t="str">
        <f t="shared" si="17"/>
        <v/>
      </c>
      <c r="O117" s="149" t="e">
        <f t="shared" ref="O117:O147" si="24">N117*10000</f>
        <v>#VALUE!</v>
      </c>
      <c r="P117" s="149" t="e">
        <f t="shared" si="18"/>
        <v>#VALUE!</v>
      </c>
      <c r="Q117" s="73" t="s">
        <v>132</v>
      </c>
    </row>
    <row r="118" spans="1:17">
      <c r="A118" s="158"/>
      <c r="B118" s="161"/>
      <c r="C118" s="164"/>
      <c r="D118" s="176"/>
      <c r="E118" s="167"/>
      <c r="F118" s="37" t="s">
        <v>32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64"/>
      <c r="J118" s="164"/>
      <c r="K118" s="164"/>
      <c r="L118" s="164"/>
      <c r="M118" s="164"/>
      <c r="N118" s="164"/>
      <c r="O118" s="150"/>
      <c r="P118" s="150"/>
      <c r="Q118" s="74" t="s">
        <v>132</v>
      </c>
    </row>
    <row r="119" spans="1:17">
      <c r="A119" s="158"/>
      <c r="B119" s="161"/>
      <c r="C119" s="164"/>
      <c r="D119" s="176"/>
      <c r="E119" s="167"/>
      <c r="F119" s="37" t="s">
        <v>12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64"/>
      <c r="J119" s="164"/>
      <c r="K119" s="164"/>
      <c r="L119" s="164"/>
      <c r="M119" s="164"/>
      <c r="N119" s="164"/>
      <c r="O119" s="150"/>
      <c r="P119" s="150"/>
      <c r="Q119" s="74" t="s">
        <v>132</v>
      </c>
    </row>
    <row r="120" spans="1:17">
      <c r="A120" s="158"/>
      <c r="B120" s="161"/>
      <c r="C120" s="164"/>
      <c r="D120" s="176"/>
      <c r="E120" s="167"/>
      <c r="F120" s="37" t="s">
        <v>13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64"/>
      <c r="J120" s="164"/>
      <c r="K120" s="164"/>
      <c r="L120" s="164"/>
      <c r="M120" s="164"/>
      <c r="N120" s="164"/>
      <c r="O120" s="150"/>
      <c r="P120" s="150"/>
      <c r="Q120" s="74" t="s">
        <v>132</v>
      </c>
    </row>
    <row r="121" spans="1:17" ht="17.25" thickBot="1">
      <c r="A121" s="169"/>
      <c r="B121" s="170"/>
      <c r="C121" s="171"/>
      <c r="D121" s="183"/>
      <c r="E121" s="172"/>
      <c r="F121" s="38" t="s">
        <v>19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14</v>
      </c>
      <c r="I121" s="171"/>
      <c r="J121" s="171"/>
      <c r="K121" s="171"/>
      <c r="L121" s="171"/>
      <c r="M121" s="171"/>
      <c r="N121" s="171"/>
      <c r="O121" s="151"/>
      <c r="P121" s="151"/>
      <c r="Q121" s="76" t="s">
        <v>132</v>
      </c>
    </row>
    <row r="122" spans="1:17" s="12" customFormat="1">
      <c r="A122" s="157" t="s">
        <v>78</v>
      </c>
      <c r="B122" s="160" t="str">
        <f t="shared" si="22"/>
        <v>제작</v>
      </c>
      <c r="C122" s="163" t="str">
        <f>IFERROR(VLOOKUP(A122,'거래소 최저가'!F:G,2,FALSE),"")</f>
        <v/>
      </c>
      <c r="D122" s="175" t="str">
        <f t="shared" si="16"/>
        <v/>
      </c>
      <c r="E122" s="166">
        <f t="shared" si="23"/>
        <v>4.666666666666667</v>
      </c>
      <c r="F122" s="36" t="s">
        <v>11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63">
        <f>IF(ISBLANK(A122),"",SUM(H122:H$207)-SUM(I123:I$207))</f>
        <v>14</v>
      </c>
      <c r="J122" s="163">
        <v>144</v>
      </c>
      <c r="K122" s="163">
        <f>IF(J122=1,1,INT(J122*(1-IF(Q122="배틀아이템",검색!$I$23,IF(Q122="요리",검색!$J$23,IF(Q122="특수",검색!$K$23,IF(Q122="생활도구",검색!$L$23))))*0.01)))</f>
        <v>134</v>
      </c>
      <c r="L122" s="163">
        <v>3</v>
      </c>
      <c r="M122" s="163">
        <f>L122*(1+0.01*IF(Q122="배틀아이템",검색!$I$21,IF(Q122="요리",검색!$J$21,IF(Q122="특수",검색!$K$21,IF(Q122="생활도구",검색!$L$21)))))</f>
        <v>3.1500000000000004</v>
      </c>
      <c r="N122" s="163" t="str">
        <f t="shared" si="17"/>
        <v/>
      </c>
      <c r="O122" s="149" t="e">
        <f t="shared" si="24"/>
        <v>#VALUE!</v>
      </c>
      <c r="P122" s="149" t="e">
        <f t="shared" si="18"/>
        <v>#VALUE!</v>
      </c>
      <c r="Q122" s="73" t="s">
        <v>132</v>
      </c>
    </row>
    <row r="123" spans="1:17" s="10" customFormat="1">
      <c r="A123" s="158"/>
      <c r="B123" s="161"/>
      <c r="C123" s="164"/>
      <c r="D123" s="176"/>
      <c r="E123" s="167"/>
      <c r="F123" s="37" t="s">
        <v>32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64"/>
      <c r="J123" s="164"/>
      <c r="K123" s="164"/>
      <c r="L123" s="164"/>
      <c r="M123" s="164"/>
      <c r="N123" s="164"/>
      <c r="O123" s="150"/>
      <c r="P123" s="150"/>
      <c r="Q123" s="74" t="s">
        <v>132</v>
      </c>
    </row>
    <row r="124" spans="1:17" s="10" customFormat="1">
      <c r="A124" s="158"/>
      <c r="B124" s="161"/>
      <c r="C124" s="164"/>
      <c r="D124" s="176"/>
      <c r="E124" s="167"/>
      <c r="F124" s="37" t="s">
        <v>12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64"/>
      <c r="J124" s="164"/>
      <c r="K124" s="164"/>
      <c r="L124" s="164"/>
      <c r="M124" s="164"/>
      <c r="N124" s="164"/>
      <c r="O124" s="150"/>
      <c r="P124" s="150"/>
      <c r="Q124" s="74" t="s">
        <v>132</v>
      </c>
    </row>
    <row r="125" spans="1:17" s="10" customFormat="1">
      <c r="A125" s="158"/>
      <c r="B125" s="161"/>
      <c r="C125" s="164"/>
      <c r="D125" s="176"/>
      <c r="E125" s="167"/>
      <c r="F125" s="37" t="s">
        <v>13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64"/>
      <c r="J125" s="164"/>
      <c r="K125" s="164"/>
      <c r="L125" s="164"/>
      <c r="M125" s="164"/>
      <c r="N125" s="164"/>
      <c r="O125" s="150"/>
      <c r="P125" s="150"/>
      <c r="Q125" s="74" t="s">
        <v>132</v>
      </c>
    </row>
    <row r="126" spans="1:17" s="13" customFormat="1" ht="17.25" thickBot="1">
      <c r="A126" s="169"/>
      <c r="B126" s="170"/>
      <c r="C126" s="171"/>
      <c r="D126" s="183"/>
      <c r="E126" s="172"/>
      <c r="F126" s="38" t="s">
        <v>19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14</v>
      </c>
      <c r="I126" s="171"/>
      <c r="J126" s="171"/>
      <c r="K126" s="171"/>
      <c r="L126" s="171"/>
      <c r="M126" s="171"/>
      <c r="N126" s="171"/>
      <c r="O126" s="151"/>
      <c r="P126" s="151"/>
      <c r="Q126" s="76" t="s">
        <v>132</v>
      </c>
    </row>
    <row r="127" spans="1:17" s="12" customFormat="1">
      <c r="A127" s="157" t="s">
        <v>79</v>
      </c>
      <c r="B127" s="160" t="str">
        <f t="shared" si="22"/>
        <v>제작</v>
      </c>
      <c r="C127" s="163" t="str">
        <f>IFERROR(VLOOKUP(A127,'거래소 최저가'!F:G,2,FALSE),"")</f>
        <v/>
      </c>
      <c r="D127" s="175" t="str">
        <f t="shared" si="16"/>
        <v/>
      </c>
      <c r="E127" s="166">
        <f t="shared" si="23"/>
        <v>4.666666666666667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63">
        <f>IF(ISBLANK(A127),"",SUM(H127:H$207)-SUM(I128:I$207))</f>
        <v>14</v>
      </c>
      <c r="J127" s="163">
        <v>144</v>
      </c>
      <c r="K127" s="163">
        <f>IF(J127=1,1,INT(J127*(1-IF(Q127="배틀아이템",검색!$I$23,IF(Q127="요리",검색!$J$23,IF(Q127="특수",검색!$K$23,IF(Q127="생활도구",검색!$L$23))))*0.01)))</f>
        <v>134</v>
      </c>
      <c r="L127" s="163">
        <v>3</v>
      </c>
      <c r="M127" s="163">
        <f>L127*(1+0.01*IF(Q127="배틀아이템",검색!$I$21,IF(Q127="요리",검색!$J$21,IF(Q127="특수",검색!$K$21,IF(Q127="생활도구",검색!$L$21)))))</f>
        <v>3.1500000000000004</v>
      </c>
      <c r="N127" s="163" t="str">
        <f t="shared" si="17"/>
        <v/>
      </c>
      <c r="O127" s="149" t="e">
        <f t="shared" si="24"/>
        <v>#VALUE!</v>
      </c>
      <c r="P127" s="149" t="e">
        <f t="shared" si="18"/>
        <v>#VALUE!</v>
      </c>
      <c r="Q127" s="73" t="s">
        <v>132</v>
      </c>
    </row>
    <row r="128" spans="1:17" s="10" customFormat="1">
      <c r="A128" s="158"/>
      <c r="B128" s="161"/>
      <c r="C128" s="164"/>
      <c r="D128" s="176"/>
      <c r="E128" s="167"/>
      <c r="F128" s="37" t="s">
        <v>32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64"/>
      <c r="J128" s="164"/>
      <c r="K128" s="164"/>
      <c r="L128" s="164"/>
      <c r="M128" s="164"/>
      <c r="N128" s="164"/>
      <c r="O128" s="150"/>
      <c r="P128" s="150"/>
      <c r="Q128" s="74" t="s">
        <v>132</v>
      </c>
    </row>
    <row r="129" spans="1:17" s="10" customFormat="1">
      <c r="A129" s="158"/>
      <c r="B129" s="161"/>
      <c r="C129" s="164"/>
      <c r="D129" s="176"/>
      <c r="E129" s="167"/>
      <c r="F129" s="37" t="s">
        <v>8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64"/>
      <c r="J129" s="164"/>
      <c r="K129" s="164"/>
      <c r="L129" s="164"/>
      <c r="M129" s="164"/>
      <c r="N129" s="164"/>
      <c r="O129" s="150"/>
      <c r="P129" s="150"/>
      <c r="Q129" s="74" t="s">
        <v>132</v>
      </c>
    </row>
    <row r="130" spans="1:17" s="10" customFormat="1">
      <c r="A130" s="158"/>
      <c r="B130" s="161"/>
      <c r="C130" s="164"/>
      <c r="D130" s="176"/>
      <c r="E130" s="167"/>
      <c r="F130" s="37" t="s">
        <v>18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64"/>
      <c r="J130" s="164"/>
      <c r="K130" s="164"/>
      <c r="L130" s="164"/>
      <c r="M130" s="164"/>
      <c r="N130" s="164"/>
      <c r="O130" s="150"/>
      <c r="P130" s="150"/>
      <c r="Q130" s="74" t="s">
        <v>132</v>
      </c>
    </row>
    <row r="131" spans="1:17" s="11" customFormat="1" ht="17.25" thickBot="1">
      <c r="A131" s="169"/>
      <c r="B131" s="170"/>
      <c r="C131" s="171"/>
      <c r="D131" s="183"/>
      <c r="E131" s="172"/>
      <c r="F131" s="38" t="s">
        <v>19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14</v>
      </c>
      <c r="I131" s="171"/>
      <c r="J131" s="171"/>
      <c r="K131" s="171"/>
      <c r="L131" s="171"/>
      <c r="M131" s="171"/>
      <c r="N131" s="171"/>
      <c r="O131" s="151"/>
      <c r="P131" s="151"/>
      <c r="Q131" s="76" t="s">
        <v>132</v>
      </c>
    </row>
    <row r="132" spans="1:17">
      <c r="A132" s="157" t="s">
        <v>81</v>
      </c>
      <c r="B132" s="160" t="str">
        <f t="shared" si="22"/>
        <v>제작</v>
      </c>
      <c r="C132" s="163" t="str">
        <f>IFERROR(VLOOKUP(A132,'거래소 최저가'!F:G,2,FALSE),"")</f>
        <v/>
      </c>
      <c r="D132" s="175" t="str">
        <f t="shared" ref="D132:D194" si="25">IFERROR(INT(C132*0.05)+1,"")</f>
        <v/>
      </c>
      <c r="E132" s="166">
        <f t="shared" si="23"/>
        <v>4.666666666666667</v>
      </c>
      <c r="F132" s="36" t="s">
        <v>82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63">
        <f>IF(ISBLANK(A132),"",SUM(H132:H$207)-SUM(I133:I$207))</f>
        <v>14</v>
      </c>
      <c r="J132" s="163">
        <v>144</v>
      </c>
      <c r="K132" s="163">
        <f>IF(J132=1,1,INT(J132*(1-IF(Q132="배틀아이템",검색!$I$23,IF(Q132="요리",검색!$J$23,IF(Q132="특수",검색!$K$23,IF(Q132="생활도구",검색!$L$23))))*0.01)))</f>
        <v>134</v>
      </c>
      <c r="L132" s="163">
        <v>3</v>
      </c>
      <c r="M132" s="163">
        <f>L132*(1+0.01*IF(Q132="배틀아이템",검색!$I$21,IF(Q132="요리",검색!$J$21,IF(Q132="특수",검색!$K$21,IF(Q132="생활도구",검색!$L$21)))))</f>
        <v>3.1500000000000004</v>
      </c>
      <c r="N132" s="163" t="str">
        <f t="shared" ref="N132:N194" si="26">IFERROR((((C132-D132)*M132-I132)/K132),"")</f>
        <v/>
      </c>
      <c r="O132" s="149" t="e">
        <f t="shared" si="24"/>
        <v>#VALUE!</v>
      </c>
      <c r="P132" s="149" t="e">
        <f t="shared" ref="P132:P194" si="27">((C132-D132-1)*M132-I132)/K132*10000</f>
        <v>#VALUE!</v>
      </c>
      <c r="Q132" s="73" t="s">
        <v>132</v>
      </c>
    </row>
    <row r="133" spans="1:17">
      <c r="A133" s="158"/>
      <c r="B133" s="161"/>
      <c r="C133" s="164"/>
      <c r="D133" s="176"/>
      <c r="E133" s="167"/>
      <c r="F133" s="37" t="s">
        <v>11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64"/>
      <c r="J133" s="164"/>
      <c r="K133" s="164"/>
      <c r="L133" s="164"/>
      <c r="M133" s="164"/>
      <c r="N133" s="164"/>
      <c r="O133" s="150"/>
      <c r="P133" s="150"/>
      <c r="Q133" s="74" t="s">
        <v>132</v>
      </c>
    </row>
    <row r="134" spans="1:17">
      <c r="A134" s="158"/>
      <c r="B134" s="161"/>
      <c r="C134" s="164"/>
      <c r="D134" s="176"/>
      <c r="E134" s="167"/>
      <c r="F134" s="37" t="s">
        <v>12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64"/>
      <c r="J134" s="164"/>
      <c r="K134" s="164"/>
      <c r="L134" s="164"/>
      <c r="M134" s="164"/>
      <c r="N134" s="164"/>
      <c r="O134" s="150"/>
      <c r="P134" s="150"/>
      <c r="Q134" s="74" t="s">
        <v>132</v>
      </c>
    </row>
    <row r="135" spans="1:17">
      <c r="A135" s="158"/>
      <c r="B135" s="161"/>
      <c r="C135" s="164"/>
      <c r="D135" s="176"/>
      <c r="E135" s="167"/>
      <c r="F135" s="37" t="s">
        <v>13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64"/>
      <c r="J135" s="164"/>
      <c r="K135" s="164"/>
      <c r="L135" s="164"/>
      <c r="M135" s="164"/>
      <c r="N135" s="164"/>
      <c r="O135" s="150"/>
      <c r="P135" s="150"/>
      <c r="Q135" s="74" t="s">
        <v>132</v>
      </c>
    </row>
    <row r="136" spans="1:17" ht="17.25" thickBot="1">
      <c r="A136" s="169"/>
      <c r="B136" s="170"/>
      <c r="C136" s="171"/>
      <c r="D136" s="183"/>
      <c r="E136" s="172"/>
      <c r="F136" s="38" t="s">
        <v>19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14</v>
      </c>
      <c r="I136" s="171"/>
      <c r="J136" s="171"/>
      <c r="K136" s="171"/>
      <c r="L136" s="171"/>
      <c r="M136" s="171"/>
      <c r="N136" s="171"/>
      <c r="O136" s="151"/>
      <c r="P136" s="151"/>
      <c r="Q136" s="76" t="s">
        <v>132</v>
      </c>
    </row>
    <row r="137" spans="1:17">
      <c r="A137" s="157" t="s">
        <v>83</v>
      </c>
      <c r="B137" s="160" t="str">
        <f t="shared" si="22"/>
        <v>제작</v>
      </c>
      <c r="C137" s="163" t="str">
        <f>IFERROR(VLOOKUP(A137,'거래소 최저가'!F:G,2,FALSE),"")</f>
        <v/>
      </c>
      <c r="D137" s="175" t="str">
        <f t="shared" si="25"/>
        <v/>
      </c>
      <c r="E137" s="166">
        <f t="shared" si="23"/>
        <v>4.666666666666667</v>
      </c>
      <c r="F137" s="36" t="s">
        <v>11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63">
        <f>IF(ISBLANK(A137),"",SUM(H137:H$207)-SUM(I138:I$207))</f>
        <v>14</v>
      </c>
      <c r="J137" s="163">
        <v>144</v>
      </c>
      <c r="K137" s="163">
        <f>IF(J137=1,1,INT(J137*(1-IF(Q137="배틀아이템",검색!$I$23,IF(Q137="요리",검색!$J$23,IF(Q137="특수",검색!$K$23,IF(Q137="생활도구",검색!$L$23))))*0.01)))</f>
        <v>134</v>
      </c>
      <c r="L137" s="163">
        <v>3</v>
      </c>
      <c r="M137" s="163">
        <f>L137*(1+0.01*IF(Q137="배틀아이템",검색!$I$21,IF(Q137="요리",검색!$J$21,IF(Q137="특수",검색!$K$21,IF(Q137="생활도구",검색!$L$21)))))</f>
        <v>3.1500000000000004</v>
      </c>
      <c r="N137" s="163" t="str">
        <f t="shared" si="26"/>
        <v/>
      </c>
      <c r="O137" s="149" t="e">
        <f t="shared" si="24"/>
        <v>#VALUE!</v>
      </c>
      <c r="P137" s="149" t="e">
        <f t="shared" si="27"/>
        <v>#VALUE!</v>
      </c>
      <c r="Q137" s="73" t="s">
        <v>132</v>
      </c>
    </row>
    <row r="138" spans="1:17">
      <c r="A138" s="158"/>
      <c r="B138" s="161"/>
      <c r="C138" s="164"/>
      <c r="D138" s="176"/>
      <c r="E138" s="167"/>
      <c r="F138" s="37" t="s">
        <v>14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64"/>
      <c r="J138" s="164"/>
      <c r="K138" s="164"/>
      <c r="L138" s="164"/>
      <c r="M138" s="164"/>
      <c r="N138" s="164"/>
      <c r="O138" s="150"/>
      <c r="P138" s="150"/>
      <c r="Q138" s="74" t="s">
        <v>132</v>
      </c>
    </row>
    <row r="139" spans="1:17">
      <c r="A139" s="158"/>
      <c r="B139" s="161"/>
      <c r="C139" s="164"/>
      <c r="D139" s="176"/>
      <c r="E139" s="167"/>
      <c r="F139" s="37" t="s">
        <v>12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64"/>
      <c r="J139" s="164"/>
      <c r="K139" s="164"/>
      <c r="L139" s="164"/>
      <c r="M139" s="164"/>
      <c r="N139" s="164"/>
      <c r="O139" s="150"/>
      <c r="P139" s="150"/>
      <c r="Q139" s="74" t="s">
        <v>132</v>
      </c>
    </row>
    <row r="140" spans="1:17">
      <c r="A140" s="158"/>
      <c r="B140" s="161"/>
      <c r="C140" s="164"/>
      <c r="D140" s="176"/>
      <c r="E140" s="167"/>
      <c r="F140" s="37" t="s">
        <v>13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64"/>
      <c r="J140" s="164"/>
      <c r="K140" s="164"/>
      <c r="L140" s="164"/>
      <c r="M140" s="164"/>
      <c r="N140" s="164"/>
      <c r="O140" s="150"/>
      <c r="P140" s="150"/>
      <c r="Q140" s="74" t="s">
        <v>132</v>
      </c>
    </row>
    <row r="141" spans="1:17" ht="17.25" thickBot="1">
      <c r="A141" s="169"/>
      <c r="B141" s="170"/>
      <c r="C141" s="171"/>
      <c r="D141" s="183"/>
      <c r="E141" s="172"/>
      <c r="F141" s="38" t="s">
        <v>19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14</v>
      </c>
      <c r="I141" s="171"/>
      <c r="J141" s="171"/>
      <c r="K141" s="171"/>
      <c r="L141" s="171"/>
      <c r="M141" s="171"/>
      <c r="N141" s="171"/>
      <c r="O141" s="151"/>
      <c r="P141" s="151"/>
      <c r="Q141" s="76" t="s">
        <v>132</v>
      </c>
    </row>
    <row r="142" spans="1:17">
      <c r="A142" s="157" t="s">
        <v>84</v>
      </c>
      <c r="B142" s="160" t="str">
        <f t="shared" si="22"/>
        <v>제작</v>
      </c>
      <c r="C142" s="163" t="str">
        <f>IFERROR(VLOOKUP(A142,'거래소 최저가'!F:G,2,FALSE),"")</f>
        <v/>
      </c>
      <c r="D142" s="175" t="str">
        <f t="shared" si="25"/>
        <v/>
      </c>
      <c r="E142" s="166">
        <f t="shared" si="23"/>
        <v>4.666666666666667</v>
      </c>
      <c r="F142" s="36" t="s">
        <v>11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63">
        <f>IF(ISBLANK(A142),"",SUM(H142:H$207)-SUM(I143:I$207))</f>
        <v>14</v>
      </c>
      <c r="J142" s="163">
        <v>144</v>
      </c>
      <c r="K142" s="163">
        <f>IF(J142=1,1,INT(J142*(1-IF(Q142="배틀아이템",검색!$I$23,IF(Q142="요리",검색!$J$23,IF(Q142="특수",검색!$K$23,IF(Q142="생활도구",검색!$L$23))))*0.01)))</f>
        <v>134</v>
      </c>
      <c r="L142" s="163">
        <v>3</v>
      </c>
      <c r="M142" s="163">
        <f>L142*(1+0.01*IF(Q142="배틀아이템",검색!$I$21,IF(Q142="요리",검색!$J$21,IF(Q142="특수",검색!$K$21,IF(Q142="생활도구",검색!$L$21)))))</f>
        <v>3.1500000000000004</v>
      </c>
      <c r="N142" s="163" t="str">
        <f t="shared" si="26"/>
        <v/>
      </c>
      <c r="O142" s="149" t="e">
        <f t="shared" si="24"/>
        <v>#VALUE!</v>
      </c>
      <c r="P142" s="149" t="e">
        <f t="shared" si="27"/>
        <v>#VALUE!</v>
      </c>
      <c r="Q142" s="73" t="s">
        <v>132</v>
      </c>
    </row>
    <row r="143" spans="1:17">
      <c r="A143" s="158"/>
      <c r="B143" s="161"/>
      <c r="C143" s="164"/>
      <c r="D143" s="176"/>
      <c r="E143" s="167"/>
      <c r="F143" s="37" t="s">
        <v>82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64"/>
      <c r="J143" s="164"/>
      <c r="K143" s="164"/>
      <c r="L143" s="164"/>
      <c r="M143" s="164"/>
      <c r="N143" s="164"/>
      <c r="O143" s="150"/>
      <c r="P143" s="150"/>
      <c r="Q143" s="74" t="s">
        <v>132</v>
      </c>
    </row>
    <row r="144" spans="1:17">
      <c r="A144" s="158"/>
      <c r="B144" s="161"/>
      <c r="C144" s="164"/>
      <c r="D144" s="176"/>
      <c r="E144" s="167"/>
      <c r="F144" s="37" t="s">
        <v>12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64"/>
      <c r="J144" s="164"/>
      <c r="K144" s="164"/>
      <c r="L144" s="164"/>
      <c r="M144" s="164"/>
      <c r="N144" s="164"/>
      <c r="O144" s="150"/>
      <c r="P144" s="150"/>
      <c r="Q144" s="74" t="s">
        <v>132</v>
      </c>
    </row>
    <row r="145" spans="1:17">
      <c r="A145" s="158"/>
      <c r="B145" s="161"/>
      <c r="C145" s="164"/>
      <c r="D145" s="176"/>
      <c r="E145" s="167"/>
      <c r="F145" s="37" t="s">
        <v>13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64"/>
      <c r="J145" s="164"/>
      <c r="K145" s="164"/>
      <c r="L145" s="164"/>
      <c r="M145" s="164"/>
      <c r="N145" s="164"/>
      <c r="O145" s="150"/>
      <c r="P145" s="150"/>
      <c r="Q145" s="74" t="s">
        <v>132</v>
      </c>
    </row>
    <row r="146" spans="1:17" ht="17.25" thickBot="1">
      <c r="A146" s="169"/>
      <c r="B146" s="170"/>
      <c r="C146" s="171"/>
      <c r="D146" s="183"/>
      <c r="E146" s="172"/>
      <c r="F146" s="38" t="s">
        <v>19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14</v>
      </c>
      <c r="I146" s="171"/>
      <c r="J146" s="171"/>
      <c r="K146" s="171"/>
      <c r="L146" s="171"/>
      <c r="M146" s="171"/>
      <c r="N146" s="171"/>
      <c r="O146" s="151"/>
      <c r="P146" s="151"/>
      <c r="Q146" s="76" t="s">
        <v>132</v>
      </c>
    </row>
    <row r="147" spans="1:17">
      <c r="A147" s="157" t="s">
        <v>85</v>
      </c>
      <c r="B147" s="160" t="str">
        <f t="shared" ref="B147:B176" si="28">IFERROR(IF(ISBLANK(A147),"",IF(C147&gt;E147,"제작","구매")),"")</f>
        <v>제작</v>
      </c>
      <c r="C147" s="163" t="str">
        <f>IFERROR(VLOOKUP(A147,'거래소 최저가'!F:G,2,FALSE),"")</f>
        <v/>
      </c>
      <c r="D147" s="175" t="str">
        <f t="shared" si="25"/>
        <v/>
      </c>
      <c r="E147" s="166">
        <f t="shared" ref="E147:E152" si="29">IFERROR(IF(ISBLANK(A147),"",I147/L147),"")</f>
        <v>4.666666666666667</v>
      </c>
      <c r="F147" s="36" t="s">
        <v>11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63">
        <f>IF(ISBLANK(A147),"",SUM(H147:H$207)-SUM(I148:I$207))</f>
        <v>14</v>
      </c>
      <c r="J147" s="163">
        <v>144</v>
      </c>
      <c r="K147" s="163">
        <f>IF(J147=1,1,INT(J147*(1-IF(Q147="배틀아이템",검색!$I$23,IF(Q147="요리",검색!$J$23,IF(Q147="특수",검색!$K$23,IF(Q147="생활도구",검색!$L$23))))*0.01)))</f>
        <v>134</v>
      </c>
      <c r="L147" s="163">
        <v>3</v>
      </c>
      <c r="M147" s="163">
        <f>L147*(1+0.01*IF(Q147="배틀아이템",검색!$I$21,IF(Q147="요리",검색!$J$21,IF(Q147="특수",검색!$K$21,IF(Q147="생활도구",검색!$L$21)))))</f>
        <v>3.1500000000000004</v>
      </c>
      <c r="N147" s="163" t="str">
        <f t="shared" si="26"/>
        <v/>
      </c>
      <c r="O147" s="149" t="e">
        <f t="shared" si="24"/>
        <v>#VALUE!</v>
      </c>
      <c r="P147" s="149" t="e">
        <f t="shared" si="27"/>
        <v>#VALUE!</v>
      </c>
      <c r="Q147" s="73" t="s">
        <v>132</v>
      </c>
    </row>
    <row r="148" spans="1:17">
      <c r="A148" s="158"/>
      <c r="B148" s="161"/>
      <c r="C148" s="164"/>
      <c r="D148" s="176"/>
      <c r="E148" s="167"/>
      <c r="F148" s="37" t="s">
        <v>14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64"/>
      <c r="J148" s="164"/>
      <c r="K148" s="164"/>
      <c r="L148" s="164"/>
      <c r="M148" s="164"/>
      <c r="N148" s="164"/>
      <c r="O148" s="150"/>
      <c r="P148" s="150"/>
      <c r="Q148" s="74" t="s">
        <v>132</v>
      </c>
    </row>
    <row r="149" spans="1:17">
      <c r="A149" s="158"/>
      <c r="B149" s="161"/>
      <c r="C149" s="164"/>
      <c r="D149" s="176"/>
      <c r="E149" s="167"/>
      <c r="F149" s="37" t="s">
        <v>12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64"/>
      <c r="J149" s="164"/>
      <c r="K149" s="164"/>
      <c r="L149" s="164"/>
      <c r="M149" s="164"/>
      <c r="N149" s="164"/>
      <c r="O149" s="150"/>
      <c r="P149" s="150"/>
      <c r="Q149" s="74" t="s">
        <v>132</v>
      </c>
    </row>
    <row r="150" spans="1:17">
      <c r="A150" s="158"/>
      <c r="B150" s="161"/>
      <c r="C150" s="164"/>
      <c r="D150" s="176"/>
      <c r="E150" s="167"/>
      <c r="F150" s="37" t="s">
        <v>13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64"/>
      <c r="J150" s="164"/>
      <c r="K150" s="164"/>
      <c r="L150" s="164"/>
      <c r="M150" s="164"/>
      <c r="N150" s="164"/>
      <c r="O150" s="150"/>
      <c r="P150" s="150"/>
      <c r="Q150" s="74" t="s">
        <v>132</v>
      </c>
    </row>
    <row r="151" spans="1:17" ht="17.25" thickBot="1">
      <c r="A151" s="169"/>
      <c r="B151" s="170"/>
      <c r="C151" s="171"/>
      <c r="D151" s="183"/>
      <c r="E151" s="172"/>
      <c r="F151" s="38" t="s">
        <v>19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14</v>
      </c>
      <c r="I151" s="171"/>
      <c r="J151" s="171"/>
      <c r="K151" s="171"/>
      <c r="L151" s="171"/>
      <c r="M151" s="171"/>
      <c r="N151" s="171"/>
      <c r="O151" s="151"/>
      <c r="P151" s="151"/>
      <c r="Q151" s="76" t="s">
        <v>132</v>
      </c>
    </row>
    <row r="152" spans="1:17">
      <c r="A152" s="157" t="s">
        <v>86</v>
      </c>
      <c r="B152" s="160" t="str">
        <f t="shared" si="28"/>
        <v>제작</v>
      </c>
      <c r="C152" s="163" t="str">
        <f>IFERROR(VLOOKUP(A152,'거래소 최저가'!F:G,2,FALSE),"")</f>
        <v/>
      </c>
      <c r="D152" s="175" t="str">
        <f t="shared" si="25"/>
        <v/>
      </c>
      <c r="E152" s="166">
        <f t="shared" si="29"/>
        <v>4.666666666666667</v>
      </c>
      <c r="F152" s="36" t="s">
        <v>82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63">
        <f>IF(ISBLANK(A152),"",SUM(H152:H$207)-SUM(I153:I$207))</f>
        <v>14</v>
      </c>
      <c r="J152" s="163">
        <v>144</v>
      </c>
      <c r="K152" s="163">
        <f>IF(J152=1,1,INT(J152*(1-IF(Q152="배틀아이템",검색!$I$23,IF(Q152="요리",검색!$J$23,IF(Q152="특수",검색!$K$23,IF(Q152="생활도구",검색!$L$23))))*0.01)))</f>
        <v>134</v>
      </c>
      <c r="L152" s="163">
        <v>3</v>
      </c>
      <c r="M152" s="163">
        <f>L152*(1+0.01*IF(Q152="배틀아이템",검색!$I$21,IF(Q152="요리",검색!$J$21,IF(Q152="특수",검색!$K$21,IF(Q152="생활도구",검색!$L$21)))))</f>
        <v>3.1500000000000004</v>
      </c>
      <c r="N152" s="163" t="str">
        <f t="shared" si="26"/>
        <v/>
      </c>
      <c r="O152" s="149" t="e">
        <f t="shared" ref="O152:O182" si="30">N152*10000</f>
        <v>#VALUE!</v>
      </c>
      <c r="P152" s="149" t="e">
        <f t="shared" si="27"/>
        <v>#VALUE!</v>
      </c>
      <c r="Q152" s="73" t="s">
        <v>132</v>
      </c>
    </row>
    <row r="153" spans="1:17">
      <c r="A153" s="158"/>
      <c r="B153" s="161"/>
      <c r="C153" s="164"/>
      <c r="D153" s="176"/>
      <c r="E153" s="167"/>
      <c r="F153" s="37" t="s">
        <v>11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64"/>
      <c r="J153" s="164"/>
      <c r="K153" s="164"/>
      <c r="L153" s="164"/>
      <c r="M153" s="164"/>
      <c r="N153" s="164"/>
      <c r="O153" s="150"/>
      <c r="P153" s="150"/>
      <c r="Q153" s="74" t="s">
        <v>132</v>
      </c>
    </row>
    <row r="154" spans="1:17">
      <c r="A154" s="158"/>
      <c r="B154" s="161"/>
      <c r="C154" s="164"/>
      <c r="D154" s="176"/>
      <c r="E154" s="167"/>
      <c r="F154" s="37" t="s">
        <v>12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64"/>
      <c r="J154" s="164"/>
      <c r="K154" s="164"/>
      <c r="L154" s="164"/>
      <c r="M154" s="164"/>
      <c r="N154" s="164"/>
      <c r="O154" s="150"/>
      <c r="P154" s="150"/>
      <c r="Q154" s="74" t="s">
        <v>132</v>
      </c>
    </row>
    <row r="155" spans="1:17">
      <c r="A155" s="158"/>
      <c r="B155" s="161"/>
      <c r="C155" s="164"/>
      <c r="D155" s="176"/>
      <c r="E155" s="167"/>
      <c r="F155" s="37" t="s">
        <v>13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64"/>
      <c r="J155" s="164"/>
      <c r="K155" s="164"/>
      <c r="L155" s="164"/>
      <c r="M155" s="164"/>
      <c r="N155" s="164"/>
      <c r="O155" s="150"/>
      <c r="P155" s="150"/>
      <c r="Q155" s="74" t="s">
        <v>132</v>
      </c>
    </row>
    <row r="156" spans="1:17" ht="17.25" thickBot="1">
      <c r="A156" s="169"/>
      <c r="B156" s="170"/>
      <c r="C156" s="171"/>
      <c r="D156" s="183"/>
      <c r="E156" s="172"/>
      <c r="F156" s="38" t="s">
        <v>19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14</v>
      </c>
      <c r="I156" s="171"/>
      <c r="J156" s="171"/>
      <c r="K156" s="171"/>
      <c r="L156" s="171"/>
      <c r="M156" s="171"/>
      <c r="N156" s="171"/>
      <c r="O156" s="151"/>
      <c r="P156" s="151"/>
      <c r="Q156" s="76" t="s">
        <v>132</v>
      </c>
    </row>
    <row r="157" spans="1:17">
      <c r="A157" s="157" t="s">
        <v>87</v>
      </c>
      <c r="B157" s="160" t="str">
        <f t="shared" si="28"/>
        <v>제작</v>
      </c>
      <c r="C157" s="163" t="str">
        <f>IFERROR(VLOOKUP(A157,'거래소 최저가'!F:G,2,FALSE),"")</f>
        <v/>
      </c>
      <c r="D157" s="175" t="str">
        <f t="shared" si="25"/>
        <v/>
      </c>
      <c r="E157" s="166">
        <f t="shared" ref="E157:E172" si="31">IFERROR(IF(ISBLANK(A157),"",I157/L157),"")</f>
        <v>4.666666666666667</v>
      </c>
      <c r="F157" s="36" t="s">
        <v>82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63">
        <f>IF(ISBLANK(A157),"",SUM(H157:H$207)-SUM(I158:I$207))</f>
        <v>14</v>
      </c>
      <c r="J157" s="163">
        <v>144</v>
      </c>
      <c r="K157" s="163">
        <f>IF(J157=1,1,INT(J157*(1-IF(Q157="배틀아이템",검색!$I$23,IF(Q157="요리",검색!$J$23,IF(Q157="특수",검색!$K$23,IF(Q157="생활도구",검색!$L$23))))*0.01)))</f>
        <v>134</v>
      </c>
      <c r="L157" s="163">
        <v>3</v>
      </c>
      <c r="M157" s="163">
        <f>L157*(1+0.01*IF(Q157="배틀아이템",검색!$I$21,IF(Q157="요리",검색!$J$21,IF(Q157="특수",검색!$K$21,IF(Q157="생활도구",검색!$L$21)))))</f>
        <v>3.1500000000000004</v>
      </c>
      <c r="N157" s="163" t="str">
        <f t="shared" si="26"/>
        <v/>
      </c>
      <c r="O157" s="149" t="e">
        <f t="shared" si="30"/>
        <v>#VALUE!</v>
      </c>
      <c r="P157" s="149" t="e">
        <f t="shared" si="27"/>
        <v>#VALUE!</v>
      </c>
      <c r="Q157" s="73" t="s">
        <v>132</v>
      </c>
    </row>
    <row r="158" spans="1:17">
      <c r="A158" s="158"/>
      <c r="B158" s="161"/>
      <c r="C158" s="164"/>
      <c r="D158" s="176"/>
      <c r="E158" s="167"/>
      <c r="F158" s="37" t="s">
        <v>11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64"/>
      <c r="J158" s="164"/>
      <c r="K158" s="164"/>
      <c r="L158" s="164"/>
      <c r="M158" s="164"/>
      <c r="N158" s="164"/>
      <c r="O158" s="150"/>
      <c r="P158" s="150"/>
      <c r="Q158" s="74" t="s">
        <v>132</v>
      </c>
    </row>
    <row r="159" spans="1:17">
      <c r="A159" s="158"/>
      <c r="B159" s="161"/>
      <c r="C159" s="164"/>
      <c r="D159" s="176"/>
      <c r="E159" s="167"/>
      <c r="F159" s="37" t="s">
        <v>12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64"/>
      <c r="J159" s="164"/>
      <c r="K159" s="164"/>
      <c r="L159" s="164"/>
      <c r="M159" s="164"/>
      <c r="N159" s="164"/>
      <c r="O159" s="150"/>
      <c r="P159" s="150"/>
      <c r="Q159" s="74" t="s">
        <v>132</v>
      </c>
    </row>
    <row r="160" spans="1:17">
      <c r="A160" s="158"/>
      <c r="B160" s="161"/>
      <c r="C160" s="164"/>
      <c r="D160" s="176"/>
      <c r="E160" s="167"/>
      <c r="F160" s="37" t="s">
        <v>13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64"/>
      <c r="J160" s="164"/>
      <c r="K160" s="164"/>
      <c r="L160" s="164"/>
      <c r="M160" s="164"/>
      <c r="N160" s="164"/>
      <c r="O160" s="150"/>
      <c r="P160" s="150"/>
      <c r="Q160" s="74" t="s">
        <v>132</v>
      </c>
    </row>
    <row r="161" spans="1:17" ht="17.25" thickBot="1">
      <c r="A161" s="169"/>
      <c r="B161" s="170"/>
      <c r="C161" s="171"/>
      <c r="D161" s="183"/>
      <c r="E161" s="172"/>
      <c r="F161" s="38" t="s">
        <v>19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14</v>
      </c>
      <c r="I161" s="171"/>
      <c r="J161" s="171"/>
      <c r="K161" s="171"/>
      <c r="L161" s="171"/>
      <c r="M161" s="171"/>
      <c r="N161" s="171"/>
      <c r="O161" s="151"/>
      <c r="P161" s="151"/>
      <c r="Q161" s="76" t="s">
        <v>132</v>
      </c>
    </row>
    <row r="162" spans="1:17">
      <c r="A162" s="157" t="s">
        <v>88</v>
      </c>
      <c r="B162" s="160" t="str">
        <f t="shared" si="28"/>
        <v>제작</v>
      </c>
      <c r="C162" s="163" t="str">
        <f>IFERROR(VLOOKUP(A162,'거래소 최저가'!F:G,2,FALSE),"")</f>
        <v/>
      </c>
      <c r="D162" s="175" t="str">
        <f t="shared" si="25"/>
        <v/>
      </c>
      <c r="E162" s="166">
        <f t="shared" si="31"/>
        <v>4.666666666666667</v>
      </c>
      <c r="F162" s="36" t="s">
        <v>82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63">
        <f>IF(ISBLANK(A162),"",SUM(H162:H$207)-SUM(I163:I$207))</f>
        <v>14</v>
      </c>
      <c r="J162" s="163">
        <v>144</v>
      </c>
      <c r="K162" s="163">
        <f>IF(J162=1,1,INT(J162*(1-IF(Q162="배틀아이템",검색!$I$23,IF(Q162="요리",검색!$J$23,IF(Q162="특수",검색!$K$23,IF(Q162="생활도구",검색!$L$23))))*0.01)))</f>
        <v>134</v>
      </c>
      <c r="L162" s="163">
        <v>3</v>
      </c>
      <c r="M162" s="163">
        <f>L162*(1+0.01*IF(Q162="배틀아이템",검색!$I$21,IF(Q162="요리",검색!$J$21,IF(Q162="특수",검색!$K$21,IF(Q162="생활도구",검색!$L$21)))))</f>
        <v>3.1500000000000004</v>
      </c>
      <c r="N162" s="163" t="str">
        <f t="shared" si="26"/>
        <v/>
      </c>
      <c r="O162" s="149" t="e">
        <f t="shared" si="30"/>
        <v>#VALUE!</v>
      </c>
      <c r="P162" s="149" t="e">
        <f t="shared" si="27"/>
        <v>#VALUE!</v>
      </c>
      <c r="Q162" s="73" t="s">
        <v>132</v>
      </c>
    </row>
    <row r="163" spans="1:17">
      <c r="A163" s="158"/>
      <c r="B163" s="161"/>
      <c r="C163" s="164"/>
      <c r="D163" s="176"/>
      <c r="E163" s="167"/>
      <c r="F163" s="37" t="s">
        <v>11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64"/>
      <c r="J163" s="164"/>
      <c r="K163" s="164"/>
      <c r="L163" s="164"/>
      <c r="M163" s="164"/>
      <c r="N163" s="164"/>
      <c r="O163" s="150"/>
      <c r="P163" s="150"/>
      <c r="Q163" s="74" t="s">
        <v>132</v>
      </c>
    </row>
    <row r="164" spans="1:17">
      <c r="A164" s="158"/>
      <c r="B164" s="161"/>
      <c r="C164" s="164"/>
      <c r="D164" s="176"/>
      <c r="E164" s="167"/>
      <c r="F164" s="37" t="s">
        <v>12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64"/>
      <c r="J164" s="164"/>
      <c r="K164" s="164"/>
      <c r="L164" s="164"/>
      <c r="M164" s="164"/>
      <c r="N164" s="164"/>
      <c r="O164" s="150"/>
      <c r="P164" s="150"/>
      <c r="Q164" s="74" t="s">
        <v>132</v>
      </c>
    </row>
    <row r="165" spans="1:17">
      <c r="A165" s="158"/>
      <c r="B165" s="161"/>
      <c r="C165" s="164"/>
      <c r="D165" s="176"/>
      <c r="E165" s="167"/>
      <c r="F165" s="37" t="s">
        <v>13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64"/>
      <c r="J165" s="164"/>
      <c r="K165" s="164"/>
      <c r="L165" s="164"/>
      <c r="M165" s="164"/>
      <c r="N165" s="164"/>
      <c r="O165" s="150"/>
      <c r="P165" s="150"/>
      <c r="Q165" s="74" t="s">
        <v>132</v>
      </c>
    </row>
    <row r="166" spans="1:17" ht="17.25" thickBot="1">
      <c r="A166" s="169"/>
      <c r="B166" s="170"/>
      <c r="C166" s="171"/>
      <c r="D166" s="183"/>
      <c r="E166" s="172"/>
      <c r="F166" s="38" t="s">
        <v>19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14</v>
      </c>
      <c r="I166" s="171"/>
      <c r="J166" s="171"/>
      <c r="K166" s="171"/>
      <c r="L166" s="171"/>
      <c r="M166" s="171"/>
      <c r="N166" s="171"/>
      <c r="O166" s="151"/>
      <c r="P166" s="151"/>
      <c r="Q166" s="76" t="s">
        <v>132</v>
      </c>
    </row>
    <row r="167" spans="1:17">
      <c r="A167" s="157" t="s">
        <v>89</v>
      </c>
      <c r="B167" s="160" t="str">
        <f t="shared" si="28"/>
        <v>제작</v>
      </c>
      <c r="C167" s="163" t="str">
        <f>IFERROR(VLOOKUP(A167,'거래소 최저가'!F:G,2,FALSE),"")</f>
        <v/>
      </c>
      <c r="D167" s="175" t="str">
        <f t="shared" si="25"/>
        <v/>
      </c>
      <c r="E167" s="166">
        <f t="shared" si="31"/>
        <v>4.666666666666667</v>
      </c>
      <c r="F167" s="36" t="s">
        <v>82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63">
        <f>IF(ISBLANK(A167),"",SUM(H167:H$207)-SUM(I168:I$207))</f>
        <v>14</v>
      </c>
      <c r="J167" s="163">
        <v>144</v>
      </c>
      <c r="K167" s="163">
        <f>IF(J167=1,1,INT(J167*(1-IF(Q167="배틀아이템",검색!$I$23,IF(Q167="요리",검색!$J$23,IF(Q167="특수",검색!$K$23,IF(Q167="생활도구",검색!$L$23))))*0.01)))</f>
        <v>134</v>
      </c>
      <c r="L167" s="163">
        <v>3</v>
      </c>
      <c r="M167" s="163">
        <f>L167*(1+0.01*IF(Q167="배틀아이템",검색!$I$21,IF(Q167="요리",검색!$J$21,IF(Q167="특수",검색!$K$21,IF(Q167="생활도구",검색!$L$21)))))</f>
        <v>3.1500000000000004</v>
      </c>
      <c r="N167" s="163" t="str">
        <f t="shared" si="26"/>
        <v/>
      </c>
      <c r="O167" s="149" t="e">
        <f t="shared" si="30"/>
        <v>#VALUE!</v>
      </c>
      <c r="P167" s="149" t="e">
        <f t="shared" si="27"/>
        <v>#VALUE!</v>
      </c>
      <c r="Q167" s="73" t="s">
        <v>132</v>
      </c>
    </row>
    <row r="168" spans="1:17">
      <c r="A168" s="158"/>
      <c r="B168" s="161"/>
      <c r="C168" s="164"/>
      <c r="D168" s="176"/>
      <c r="E168" s="167"/>
      <c r="F168" s="37" t="s">
        <v>11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64"/>
      <c r="J168" s="164"/>
      <c r="K168" s="164"/>
      <c r="L168" s="164"/>
      <c r="M168" s="164"/>
      <c r="N168" s="164"/>
      <c r="O168" s="150"/>
      <c r="P168" s="150"/>
      <c r="Q168" s="74" t="s">
        <v>132</v>
      </c>
    </row>
    <row r="169" spans="1:17">
      <c r="A169" s="158"/>
      <c r="B169" s="161"/>
      <c r="C169" s="164"/>
      <c r="D169" s="176"/>
      <c r="E169" s="167"/>
      <c r="F169" s="37" t="s">
        <v>12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64"/>
      <c r="J169" s="164"/>
      <c r="K169" s="164"/>
      <c r="L169" s="164"/>
      <c r="M169" s="164"/>
      <c r="N169" s="164"/>
      <c r="O169" s="150"/>
      <c r="P169" s="150"/>
      <c r="Q169" s="74" t="s">
        <v>132</v>
      </c>
    </row>
    <row r="170" spans="1:17">
      <c r="A170" s="158"/>
      <c r="B170" s="161"/>
      <c r="C170" s="164"/>
      <c r="D170" s="176"/>
      <c r="E170" s="167"/>
      <c r="F170" s="37" t="s">
        <v>13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64"/>
      <c r="J170" s="164"/>
      <c r="K170" s="164"/>
      <c r="L170" s="164"/>
      <c r="M170" s="164"/>
      <c r="N170" s="164"/>
      <c r="O170" s="150"/>
      <c r="P170" s="150"/>
      <c r="Q170" s="74" t="s">
        <v>132</v>
      </c>
    </row>
    <row r="171" spans="1:17" ht="17.25" thickBot="1">
      <c r="A171" s="169"/>
      <c r="B171" s="170"/>
      <c r="C171" s="171"/>
      <c r="D171" s="183"/>
      <c r="E171" s="172"/>
      <c r="F171" s="38" t="s">
        <v>19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14</v>
      </c>
      <c r="I171" s="171"/>
      <c r="J171" s="171"/>
      <c r="K171" s="171"/>
      <c r="L171" s="171"/>
      <c r="M171" s="171"/>
      <c r="N171" s="171"/>
      <c r="O171" s="151"/>
      <c r="P171" s="151"/>
      <c r="Q171" s="76" t="s">
        <v>132</v>
      </c>
    </row>
    <row r="172" spans="1:17">
      <c r="A172" s="157" t="s">
        <v>90</v>
      </c>
      <c r="B172" s="160" t="str">
        <f t="shared" si="28"/>
        <v>제작</v>
      </c>
      <c r="C172" s="163" t="str">
        <f>IFERROR(VLOOKUP(A172,'거래소 최저가'!F:G,2,FALSE),"")</f>
        <v/>
      </c>
      <c r="D172" s="175" t="str">
        <f t="shared" si="25"/>
        <v/>
      </c>
      <c r="E172" s="166">
        <f t="shared" si="31"/>
        <v>4.666666666666667</v>
      </c>
      <c r="F172" s="36" t="s">
        <v>11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63">
        <f>IF(ISBLANK(A172),"",SUM(H172:H$207)-SUM(I173:I$207))</f>
        <v>14</v>
      </c>
      <c r="J172" s="163">
        <v>144</v>
      </c>
      <c r="K172" s="163">
        <f>IF(J172=1,1,INT(J172*(1-IF(Q172="배틀아이템",검색!$I$23,IF(Q172="요리",검색!$J$23,IF(Q172="특수",검색!$K$23,IF(Q172="생활도구",검색!$L$23))))*0.01)))</f>
        <v>134</v>
      </c>
      <c r="L172" s="163">
        <v>3</v>
      </c>
      <c r="M172" s="163">
        <f>L172*(1+0.01*IF(Q172="배틀아이템",검색!$I$21,IF(Q172="요리",검색!$J$21,IF(Q172="특수",검색!$K$21,IF(Q172="생활도구",검색!$L$21)))))</f>
        <v>3.1500000000000004</v>
      </c>
      <c r="N172" s="163" t="str">
        <f t="shared" si="26"/>
        <v/>
      </c>
      <c r="O172" s="149" t="e">
        <f t="shared" si="30"/>
        <v>#VALUE!</v>
      </c>
      <c r="P172" s="149" t="e">
        <f t="shared" si="27"/>
        <v>#VALUE!</v>
      </c>
      <c r="Q172" s="73" t="s">
        <v>132</v>
      </c>
    </row>
    <row r="173" spans="1:17">
      <c r="A173" s="158"/>
      <c r="B173" s="161"/>
      <c r="C173" s="164"/>
      <c r="D173" s="176"/>
      <c r="E173" s="167"/>
      <c r="F173" s="37" t="s">
        <v>12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64"/>
      <c r="J173" s="164"/>
      <c r="K173" s="164"/>
      <c r="L173" s="164"/>
      <c r="M173" s="164"/>
      <c r="N173" s="164"/>
      <c r="O173" s="150"/>
      <c r="P173" s="150"/>
      <c r="Q173" s="74" t="s">
        <v>132</v>
      </c>
    </row>
    <row r="174" spans="1:17">
      <c r="A174" s="158"/>
      <c r="B174" s="161"/>
      <c r="C174" s="164"/>
      <c r="D174" s="176"/>
      <c r="E174" s="167"/>
      <c r="F174" s="37" t="s">
        <v>26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64"/>
      <c r="J174" s="164"/>
      <c r="K174" s="164"/>
      <c r="L174" s="164"/>
      <c r="M174" s="164"/>
      <c r="N174" s="164"/>
      <c r="O174" s="150"/>
      <c r="P174" s="150"/>
      <c r="Q174" s="74" t="s">
        <v>132</v>
      </c>
    </row>
    <row r="175" spans="1:17" ht="17.25" thickBot="1">
      <c r="A175" s="169"/>
      <c r="B175" s="170"/>
      <c r="C175" s="171"/>
      <c r="D175" s="183"/>
      <c r="E175" s="172"/>
      <c r="F175" s="38" t="s">
        <v>19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14</v>
      </c>
      <c r="I175" s="171"/>
      <c r="J175" s="171"/>
      <c r="K175" s="171"/>
      <c r="L175" s="171"/>
      <c r="M175" s="171"/>
      <c r="N175" s="171"/>
      <c r="O175" s="151"/>
      <c r="P175" s="151"/>
      <c r="Q175" s="76" t="s">
        <v>132</v>
      </c>
    </row>
    <row r="176" spans="1:17">
      <c r="A176" s="157" t="s">
        <v>91</v>
      </c>
      <c r="B176" s="160" t="str">
        <f t="shared" si="28"/>
        <v>제작</v>
      </c>
      <c r="C176" s="163" t="str">
        <f>IFERROR(VLOOKUP(A176,'거래소 최저가'!F:G,2,FALSE),"")</f>
        <v/>
      </c>
      <c r="D176" s="175" t="str">
        <f t="shared" si="25"/>
        <v/>
      </c>
      <c r="E176" s="166">
        <f t="shared" ref="E176:E208" si="32">IFERROR(IF(ISBLANK(A176),"",I176/L176),"")</f>
        <v>9.3333333333333339</v>
      </c>
      <c r="F176" s="36" t="s">
        <v>11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63">
        <f>IF(ISBLANK(A176),"",SUM(H176:H$207)-SUM(I177:I$207))</f>
        <v>28</v>
      </c>
      <c r="J176" s="163">
        <v>288</v>
      </c>
      <c r="K176" s="163">
        <f>IF(J176=1,1,INT(J176*(1-IF(Q176="배틀아이템",검색!$I$23,IF(Q176="요리",검색!$J$23,IF(Q176="특수",검색!$K$23,IF(Q176="생활도구",검색!$L$23))))*0.01)))</f>
        <v>269</v>
      </c>
      <c r="L176" s="163">
        <v>3</v>
      </c>
      <c r="M176" s="163">
        <f>L176*(1+0.01*IF(Q176="배틀아이템",검색!$I$21,IF(Q176="요리",검색!$J$21,IF(Q176="특수",검색!$K$21,IF(Q176="생활도구",검색!$L$21)))))</f>
        <v>3.1500000000000004</v>
      </c>
      <c r="N176" s="163" t="str">
        <f t="shared" si="26"/>
        <v/>
      </c>
      <c r="O176" s="149" t="e">
        <f t="shared" si="30"/>
        <v>#VALUE!</v>
      </c>
      <c r="P176" s="149" t="e">
        <f t="shared" si="27"/>
        <v>#VALUE!</v>
      </c>
      <c r="Q176" s="73" t="s">
        <v>132</v>
      </c>
    </row>
    <row r="177" spans="1:17">
      <c r="A177" s="158"/>
      <c r="B177" s="161"/>
      <c r="C177" s="164"/>
      <c r="D177" s="176"/>
      <c r="E177" s="167"/>
      <c r="F177" s="37" t="s">
        <v>26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64"/>
      <c r="J177" s="164"/>
      <c r="K177" s="164"/>
      <c r="L177" s="164"/>
      <c r="M177" s="164"/>
      <c r="N177" s="164"/>
      <c r="O177" s="150"/>
      <c r="P177" s="150"/>
      <c r="Q177" s="74" t="s">
        <v>132</v>
      </c>
    </row>
    <row r="178" spans="1:17">
      <c r="A178" s="158"/>
      <c r="B178" s="161"/>
      <c r="C178" s="164"/>
      <c r="D178" s="176"/>
      <c r="E178" s="167"/>
      <c r="F178" s="37" t="s">
        <v>48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64"/>
      <c r="J178" s="164"/>
      <c r="K178" s="164"/>
      <c r="L178" s="164"/>
      <c r="M178" s="164"/>
      <c r="N178" s="164"/>
      <c r="O178" s="150"/>
      <c r="P178" s="150"/>
      <c r="Q178" s="74" t="s">
        <v>132</v>
      </c>
    </row>
    <row r="179" spans="1:17">
      <c r="A179" s="158"/>
      <c r="B179" s="161"/>
      <c r="C179" s="164"/>
      <c r="D179" s="176"/>
      <c r="E179" s="167"/>
      <c r="F179" s="37" t="s">
        <v>12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64"/>
      <c r="J179" s="164"/>
      <c r="K179" s="164"/>
      <c r="L179" s="164"/>
      <c r="M179" s="164"/>
      <c r="N179" s="164"/>
      <c r="O179" s="150"/>
      <c r="P179" s="150"/>
      <c r="Q179" s="74" t="s">
        <v>132</v>
      </c>
    </row>
    <row r="180" spans="1:17">
      <c r="A180" s="158"/>
      <c r="B180" s="161"/>
      <c r="C180" s="164"/>
      <c r="D180" s="176"/>
      <c r="E180" s="167"/>
      <c r="F180" s="37" t="s">
        <v>13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64"/>
      <c r="J180" s="164"/>
      <c r="K180" s="164"/>
      <c r="L180" s="164"/>
      <c r="M180" s="164"/>
      <c r="N180" s="164"/>
      <c r="O180" s="150"/>
      <c r="P180" s="150"/>
      <c r="Q180" s="74" t="s">
        <v>132</v>
      </c>
    </row>
    <row r="181" spans="1:17" ht="17.25" thickBot="1">
      <c r="A181" s="169"/>
      <c r="B181" s="170"/>
      <c r="C181" s="171"/>
      <c r="D181" s="183"/>
      <c r="E181" s="172"/>
      <c r="F181" s="38" t="s">
        <v>19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28</v>
      </c>
      <c r="I181" s="171"/>
      <c r="J181" s="171"/>
      <c r="K181" s="171"/>
      <c r="L181" s="171"/>
      <c r="M181" s="171"/>
      <c r="N181" s="171"/>
      <c r="O181" s="151"/>
      <c r="P181" s="151"/>
      <c r="Q181" s="76" t="s">
        <v>132</v>
      </c>
    </row>
    <row r="182" spans="1:17">
      <c r="A182" s="157" t="s">
        <v>92</v>
      </c>
      <c r="B182" s="160" t="str">
        <f t="shared" ref="B182" si="33">IFERROR(IF(ISBLANK(A182),"",IF(C182&gt;E182,"제작","구매")),"")</f>
        <v>제작</v>
      </c>
      <c r="C182" s="163" t="str">
        <f>IFERROR(VLOOKUP(A182,'거래소 최저가'!F:G,2,FALSE),"")</f>
        <v/>
      </c>
      <c r="D182" s="175" t="str">
        <f t="shared" si="25"/>
        <v/>
      </c>
      <c r="E182" s="166">
        <f t="shared" si="32"/>
        <v>4.666666666666667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63">
        <f>IF(ISBLANK(A182),"",SUM(H182:H$207)-SUM(I183:I$207))</f>
        <v>14</v>
      </c>
      <c r="J182" s="163">
        <v>144</v>
      </c>
      <c r="K182" s="163">
        <f>IF(J182=1,1,INT(J182*(1-IF(Q182="배틀아이템",검색!$I$23,IF(Q182="요리",검색!$J$23,IF(Q182="특수",검색!$K$23,IF(Q182="생활도구",검색!$L$23))))*0.01)))</f>
        <v>134</v>
      </c>
      <c r="L182" s="163">
        <v>3</v>
      </c>
      <c r="M182" s="163">
        <f>L182*(1+0.01*IF(Q182="배틀아이템",검색!$I$21,IF(Q182="요리",검색!$J$21,IF(Q182="특수",검색!$K$21,IF(Q182="생활도구",검색!$L$21)))))</f>
        <v>3.1500000000000004</v>
      </c>
      <c r="N182" s="163" t="str">
        <f t="shared" si="26"/>
        <v/>
      </c>
      <c r="O182" s="149" t="e">
        <f t="shared" si="30"/>
        <v>#VALUE!</v>
      </c>
      <c r="P182" s="149" t="e">
        <f t="shared" si="27"/>
        <v>#VALUE!</v>
      </c>
      <c r="Q182" s="73" t="s">
        <v>132</v>
      </c>
    </row>
    <row r="183" spans="1:17">
      <c r="A183" s="158"/>
      <c r="B183" s="161"/>
      <c r="C183" s="164"/>
      <c r="D183" s="176"/>
      <c r="E183" s="167"/>
      <c r="F183" s="37" t="s">
        <v>8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64"/>
      <c r="J183" s="164"/>
      <c r="K183" s="164"/>
      <c r="L183" s="164"/>
      <c r="M183" s="164"/>
      <c r="N183" s="164"/>
      <c r="O183" s="150"/>
      <c r="P183" s="150"/>
      <c r="Q183" s="74" t="s">
        <v>132</v>
      </c>
    </row>
    <row r="184" spans="1:17">
      <c r="A184" s="158"/>
      <c r="B184" s="161"/>
      <c r="C184" s="164"/>
      <c r="D184" s="176"/>
      <c r="E184" s="167"/>
      <c r="F184" s="37" t="s">
        <v>26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64"/>
      <c r="J184" s="164"/>
      <c r="K184" s="164"/>
      <c r="L184" s="164"/>
      <c r="M184" s="164"/>
      <c r="N184" s="164"/>
      <c r="O184" s="150"/>
      <c r="P184" s="150"/>
      <c r="Q184" s="74" t="s">
        <v>132</v>
      </c>
    </row>
    <row r="185" spans="1:17" ht="17.25" thickBot="1">
      <c r="A185" s="169"/>
      <c r="B185" s="170"/>
      <c r="C185" s="171"/>
      <c r="D185" s="183"/>
      <c r="E185" s="172"/>
      <c r="F185" s="38" t="s">
        <v>19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14</v>
      </c>
      <c r="I185" s="171"/>
      <c r="J185" s="171"/>
      <c r="K185" s="171"/>
      <c r="L185" s="171"/>
      <c r="M185" s="171"/>
      <c r="N185" s="171"/>
      <c r="O185" s="151"/>
      <c r="P185" s="151"/>
      <c r="Q185" s="76" t="s">
        <v>132</v>
      </c>
    </row>
    <row r="186" spans="1:17">
      <c r="A186" s="157" t="s">
        <v>93</v>
      </c>
      <c r="B186" s="160" t="str">
        <f t="shared" ref="B186:B218" si="34">IFERROR(IF(ISBLANK(A186),"",IF(C186&gt;E186,"제작","구매")),"")</f>
        <v>제작</v>
      </c>
      <c r="C186" s="163" t="str">
        <f>IFERROR(VLOOKUP(A186,'거래소 최저가'!F:G,2,FALSE),"")</f>
        <v/>
      </c>
      <c r="D186" s="175" t="str">
        <f t="shared" si="25"/>
        <v/>
      </c>
      <c r="E186" s="166">
        <f t="shared" si="32"/>
        <v>4.666666666666667</v>
      </c>
      <c r="F186" s="36" t="s">
        <v>94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63">
        <f>IF(ISBLANK(A186),"",SUM(H186:H$207)-SUM(I187:I$207))</f>
        <v>14</v>
      </c>
      <c r="J186" s="163">
        <v>144</v>
      </c>
      <c r="K186" s="163">
        <f>IF(J186=1,1,INT(J186*(1-IF(Q186="배틀아이템",검색!$I$23,IF(Q186="요리",검색!$J$23,IF(Q186="특수",검색!$K$23,IF(Q186="생활도구",검색!$L$23))))*0.01)))</f>
        <v>134</v>
      </c>
      <c r="L186" s="163">
        <v>3</v>
      </c>
      <c r="M186" s="163">
        <f>L186*(1+0.01*IF(Q186="배틀아이템",검색!$I$21,IF(Q186="요리",검색!$J$21,IF(Q186="특수",검색!$K$21,IF(Q186="생활도구",검색!$L$21)))))</f>
        <v>3.1500000000000004</v>
      </c>
      <c r="N186" s="163" t="str">
        <f t="shared" si="26"/>
        <v/>
      </c>
      <c r="O186" s="149" t="e">
        <f t="shared" ref="O186:O211" si="35">N186*10000</f>
        <v>#VALUE!</v>
      </c>
      <c r="P186" s="149" t="e">
        <f t="shared" si="27"/>
        <v>#VALUE!</v>
      </c>
      <c r="Q186" s="73" t="s">
        <v>132</v>
      </c>
    </row>
    <row r="187" spans="1:17">
      <c r="A187" s="158"/>
      <c r="B187" s="161"/>
      <c r="C187" s="164"/>
      <c r="D187" s="176"/>
      <c r="E187" s="167"/>
      <c r="F187" s="37" t="s">
        <v>12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64"/>
      <c r="J187" s="164"/>
      <c r="K187" s="164"/>
      <c r="L187" s="164"/>
      <c r="M187" s="164"/>
      <c r="N187" s="164"/>
      <c r="O187" s="150"/>
      <c r="P187" s="150"/>
      <c r="Q187" s="74" t="s">
        <v>132</v>
      </c>
    </row>
    <row r="188" spans="1:17">
      <c r="A188" s="158"/>
      <c r="B188" s="161"/>
      <c r="C188" s="164"/>
      <c r="D188" s="176"/>
      <c r="E188" s="167"/>
      <c r="F188" s="37" t="s">
        <v>13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64"/>
      <c r="J188" s="164"/>
      <c r="K188" s="164"/>
      <c r="L188" s="164"/>
      <c r="M188" s="164"/>
      <c r="N188" s="164"/>
      <c r="O188" s="150"/>
      <c r="P188" s="150"/>
      <c r="Q188" s="74" t="s">
        <v>132</v>
      </c>
    </row>
    <row r="189" spans="1:17" ht="17.25" thickBot="1">
      <c r="A189" s="169"/>
      <c r="B189" s="170"/>
      <c r="C189" s="171"/>
      <c r="D189" s="183"/>
      <c r="E189" s="172"/>
      <c r="F189" s="38" t="s">
        <v>19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14</v>
      </c>
      <c r="I189" s="171"/>
      <c r="J189" s="171"/>
      <c r="K189" s="171"/>
      <c r="L189" s="171"/>
      <c r="M189" s="171"/>
      <c r="N189" s="171"/>
      <c r="O189" s="151"/>
      <c r="P189" s="151"/>
      <c r="Q189" s="76" t="s">
        <v>132</v>
      </c>
    </row>
    <row r="190" spans="1:17">
      <c r="A190" s="157" t="s">
        <v>95</v>
      </c>
      <c r="B190" s="160" t="str">
        <f t="shared" si="34"/>
        <v>제작</v>
      </c>
      <c r="C190" s="163" t="str">
        <f>IFERROR(VLOOKUP(A190,'거래소 최저가'!F:G,2,FALSE),"")</f>
        <v/>
      </c>
      <c r="D190" s="175" t="str">
        <f t="shared" si="25"/>
        <v/>
      </c>
      <c r="E190" s="166">
        <f t="shared" si="32"/>
        <v>4.666666666666667</v>
      </c>
      <c r="F190" s="36" t="s">
        <v>94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63">
        <f>IF(ISBLANK(A190),"",SUM(H190:H$207)-SUM(I191:I$207))</f>
        <v>14</v>
      </c>
      <c r="J190" s="163">
        <v>144</v>
      </c>
      <c r="K190" s="163">
        <f>IF(J190=1,1,INT(J190*(1-IF(Q190="배틀아이템",검색!$I$23,IF(Q190="요리",검색!$J$23,IF(Q190="특수",검색!$K$23,IF(Q190="생활도구",검색!$L$23))))*0.01)))</f>
        <v>134</v>
      </c>
      <c r="L190" s="163">
        <v>3</v>
      </c>
      <c r="M190" s="163">
        <f>L190*(1+0.01*IF(Q190="배틀아이템",검색!$I$21,IF(Q190="요리",검색!$J$21,IF(Q190="특수",검색!$K$21,IF(Q190="생활도구",검색!$L$21)))))</f>
        <v>3.1500000000000004</v>
      </c>
      <c r="N190" s="163" t="str">
        <f t="shared" si="26"/>
        <v/>
      </c>
      <c r="O190" s="149" t="e">
        <f t="shared" si="35"/>
        <v>#VALUE!</v>
      </c>
      <c r="P190" s="149" t="e">
        <f t="shared" si="27"/>
        <v>#VALUE!</v>
      </c>
      <c r="Q190" s="73" t="s">
        <v>132</v>
      </c>
    </row>
    <row r="191" spans="1:17">
      <c r="A191" s="158"/>
      <c r="B191" s="161"/>
      <c r="C191" s="164"/>
      <c r="D191" s="176"/>
      <c r="E191" s="167"/>
      <c r="F191" s="37" t="s">
        <v>12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64"/>
      <c r="J191" s="164"/>
      <c r="K191" s="164"/>
      <c r="L191" s="164"/>
      <c r="M191" s="164"/>
      <c r="N191" s="164"/>
      <c r="O191" s="150"/>
      <c r="P191" s="150"/>
      <c r="Q191" s="74" t="s">
        <v>132</v>
      </c>
    </row>
    <row r="192" spans="1:17">
      <c r="A192" s="158"/>
      <c r="B192" s="161"/>
      <c r="C192" s="164"/>
      <c r="D192" s="176"/>
      <c r="E192" s="167"/>
      <c r="F192" s="37" t="s">
        <v>13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64"/>
      <c r="J192" s="164"/>
      <c r="K192" s="164"/>
      <c r="L192" s="164"/>
      <c r="M192" s="164"/>
      <c r="N192" s="164"/>
      <c r="O192" s="150"/>
      <c r="P192" s="150"/>
      <c r="Q192" s="74" t="s">
        <v>132</v>
      </c>
    </row>
    <row r="193" spans="1:17" ht="17.25" thickBot="1">
      <c r="A193" s="169"/>
      <c r="B193" s="170"/>
      <c r="C193" s="171"/>
      <c r="D193" s="183"/>
      <c r="E193" s="172"/>
      <c r="F193" s="38" t="s">
        <v>19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14</v>
      </c>
      <c r="I193" s="171"/>
      <c r="J193" s="171"/>
      <c r="K193" s="171"/>
      <c r="L193" s="171"/>
      <c r="M193" s="171"/>
      <c r="N193" s="171"/>
      <c r="O193" s="151"/>
      <c r="P193" s="151"/>
      <c r="Q193" s="76" t="s">
        <v>132</v>
      </c>
    </row>
    <row r="194" spans="1:17">
      <c r="A194" s="157" t="s">
        <v>96</v>
      </c>
      <c r="B194" s="160" t="str">
        <f t="shared" si="34"/>
        <v>제작</v>
      </c>
      <c r="C194" s="163" t="str">
        <f>IFERROR(VLOOKUP(A194,'거래소 최저가'!F:G,2,FALSE),"")</f>
        <v/>
      </c>
      <c r="D194" s="175" t="str">
        <f t="shared" si="25"/>
        <v/>
      </c>
      <c r="E194" s="166">
        <f t="shared" ref="E194:E198" si="36">IFERROR(IF(ISBLANK(A194),"",I194/L194),"")</f>
        <v>4.666666666666667</v>
      </c>
      <c r="F194" s="36" t="s">
        <v>11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63">
        <f>IF(ISBLANK(A194),"",SUM(H194:H$207)-SUM(I195:I$207))</f>
        <v>14</v>
      </c>
      <c r="J194" s="163">
        <v>144</v>
      </c>
      <c r="K194" s="163">
        <f>IF(J194=1,1,INT(J194*(1-IF(Q194="배틀아이템",검색!$I$23,IF(Q194="요리",검색!$J$23,IF(Q194="특수",검색!$K$23,IF(Q194="생활도구",검색!$L$23))))*0.01)))</f>
        <v>134</v>
      </c>
      <c r="L194" s="163">
        <v>3</v>
      </c>
      <c r="M194" s="163">
        <f>L194*(1+0.01*IF(Q194="배틀아이템",검색!$I$21,IF(Q194="요리",검색!$J$21,IF(Q194="특수",검색!$K$21,IF(Q194="생활도구",검색!$L$21)))))</f>
        <v>3.1500000000000004</v>
      </c>
      <c r="N194" s="163" t="str">
        <f t="shared" si="26"/>
        <v/>
      </c>
      <c r="O194" s="149" t="e">
        <f t="shared" si="35"/>
        <v>#VALUE!</v>
      </c>
      <c r="P194" s="149" t="e">
        <f t="shared" si="27"/>
        <v>#VALUE!</v>
      </c>
      <c r="Q194" s="73" t="s">
        <v>132</v>
      </c>
    </row>
    <row r="195" spans="1:17">
      <c r="A195" s="158"/>
      <c r="B195" s="161"/>
      <c r="C195" s="164"/>
      <c r="D195" s="176"/>
      <c r="E195" s="167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64"/>
      <c r="J195" s="164"/>
      <c r="K195" s="164"/>
      <c r="L195" s="164"/>
      <c r="M195" s="164"/>
      <c r="N195" s="164"/>
      <c r="O195" s="150"/>
      <c r="P195" s="150"/>
      <c r="Q195" s="74" t="s">
        <v>132</v>
      </c>
    </row>
    <row r="196" spans="1:17">
      <c r="A196" s="158"/>
      <c r="B196" s="161"/>
      <c r="C196" s="164"/>
      <c r="D196" s="176"/>
      <c r="E196" s="167"/>
      <c r="F196" s="37" t="s">
        <v>13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64"/>
      <c r="J196" s="164"/>
      <c r="K196" s="164"/>
      <c r="L196" s="164"/>
      <c r="M196" s="164"/>
      <c r="N196" s="164"/>
      <c r="O196" s="150"/>
      <c r="P196" s="150"/>
      <c r="Q196" s="74" t="s">
        <v>132</v>
      </c>
    </row>
    <row r="197" spans="1:17" ht="17.25" thickBot="1">
      <c r="A197" s="169"/>
      <c r="B197" s="170"/>
      <c r="C197" s="171"/>
      <c r="D197" s="183"/>
      <c r="E197" s="172"/>
      <c r="F197" s="38" t="s">
        <v>19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14</v>
      </c>
      <c r="I197" s="171"/>
      <c r="J197" s="171"/>
      <c r="K197" s="171"/>
      <c r="L197" s="171"/>
      <c r="M197" s="171"/>
      <c r="N197" s="171"/>
      <c r="O197" s="151"/>
      <c r="P197" s="151"/>
      <c r="Q197" s="76" t="s">
        <v>132</v>
      </c>
    </row>
    <row r="198" spans="1:17" s="31" customFormat="1">
      <c r="A198" s="157" t="s">
        <v>97</v>
      </c>
      <c r="B198" s="160" t="str">
        <f t="shared" si="34"/>
        <v>제작</v>
      </c>
      <c r="C198" s="163" t="str">
        <f>IFERROR(VLOOKUP(A198,'거래소 최저가'!F:G,2,FALSE),"")</f>
        <v/>
      </c>
      <c r="D198" s="175" t="str">
        <f t="shared" ref="D198:D211" si="37">IFERROR(INT(C198*0.05)+1,"")</f>
        <v/>
      </c>
      <c r="E198" s="166">
        <f t="shared" si="36"/>
        <v>9.3333333333333339</v>
      </c>
      <c r="F198" s="36" t="s">
        <v>82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63">
        <f>IF(ISBLANK(A198),"",SUM(H198:H$207)-SUM(I199:I$207))</f>
        <v>28</v>
      </c>
      <c r="J198" s="163">
        <v>288</v>
      </c>
      <c r="K198" s="163">
        <f>IF(J198=1,1,INT(J198*(1-IF(Q198="배틀아이템",검색!$I$23,IF(Q198="요리",검색!$J$23,IF(Q198="특수",검색!$K$23,IF(Q198="생활도구",검색!$L$23))))*0.01)))</f>
        <v>269</v>
      </c>
      <c r="L198" s="163">
        <v>3</v>
      </c>
      <c r="M198" s="163">
        <f>L198*(1+0.01*IF(Q198="배틀아이템",검색!$I$21,IF(Q198="요리",검색!$J$21,IF(Q198="특수",검색!$K$21,IF(Q198="생활도구",검색!$L$21)))))</f>
        <v>3.1500000000000004</v>
      </c>
      <c r="N198" s="163" t="str">
        <f t="shared" ref="N198:N211" si="38">IFERROR((((C198-D198)*M198-I198)/K198),"")</f>
        <v/>
      </c>
      <c r="O198" s="149" t="e">
        <f t="shared" si="35"/>
        <v>#VALUE!</v>
      </c>
      <c r="P198" s="149" t="e">
        <f t="shared" ref="P198:P211" si="39">((C198-D198-1)*M198-I198)/K198*10000</f>
        <v>#VALUE!</v>
      </c>
      <c r="Q198" s="73" t="s">
        <v>132</v>
      </c>
    </row>
    <row r="199" spans="1:17" s="30" customFormat="1">
      <c r="A199" s="158"/>
      <c r="B199" s="161"/>
      <c r="C199" s="164"/>
      <c r="D199" s="176"/>
      <c r="E199" s="167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64"/>
      <c r="J199" s="164"/>
      <c r="K199" s="164"/>
      <c r="L199" s="164"/>
      <c r="M199" s="164"/>
      <c r="N199" s="164"/>
      <c r="O199" s="150"/>
      <c r="P199" s="150"/>
      <c r="Q199" s="74" t="s">
        <v>132</v>
      </c>
    </row>
    <row r="200" spans="1:17" s="30" customFormat="1">
      <c r="A200" s="158"/>
      <c r="B200" s="161"/>
      <c r="C200" s="164"/>
      <c r="D200" s="176"/>
      <c r="E200" s="167"/>
      <c r="F200" s="37" t="s">
        <v>8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64"/>
      <c r="J200" s="164"/>
      <c r="K200" s="164"/>
      <c r="L200" s="164"/>
      <c r="M200" s="164"/>
      <c r="N200" s="164"/>
      <c r="O200" s="150"/>
      <c r="P200" s="150"/>
      <c r="Q200" s="74" t="s">
        <v>132</v>
      </c>
    </row>
    <row r="201" spans="1:17" s="30" customFormat="1">
      <c r="A201" s="158"/>
      <c r="B201" s="161"/>
      <c r="C201" s="164"/>
      <c r="D201" s="176"/>
      <c r="E201" s="167"/>
      <c r="F201" s="37" t="s">
        <v>48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64"/>
      <c r="J201" s="164"/>
      <c r="K201" s="164"/>
      <c r="L201" s="164"/>
      <c r="M201" s="164"/>
      <c r="N201" s="164"/>
      <c r="O201" s="150"/>
      <c r="P201" s="150"/>
      <c r="Q201" s="74" t="s">
        <v>132</v>
      </c>
    </row>
    <row r="202" spans="1:17" s="30" customFormat="1">
      <c r="A202" s="158"/>
      <c r="B202" s="161"/>
      <c r="C202" s="164"/>
      <c r="D202" s="176"/>
      <c r="E202" s="167"/>
      <c r="F202" s="37" t="s">
        <v>18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64"/>
      <c r="J202" s="164"/>
      <c r="K202" s="164"/>
      <c r="L202" s="164"/>
      <c r="M202" s="164"/>
      <c r="N202" s="164"/>
      <c r="O202" s="150"/>
      <c r="P202" s="150"/>
      <c r="Q202" s="74" t="s">
        <v>132</v>
      </c>
    </row>
    <row r="203" spans="1:17" s="40" customFormat="1" ht="17.25" thickBot="1">
      <c r="A203" s="169"/>
      <c r="B203" s="170"/>
      <c r="C203" s="171"/>
      <c r="D203" s="183"/>
      <c r="E203" s="172"/>
      <c r="F203" s="38" t="s">
        <v>19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28</v>
      </c>
      <c r="I203" s="171"/>
      <c r="J203" s="171"/>
      <c r="K203" s="171"/>
      <c r="L203" s="171"/>
      <c r="M203" s="171"/>
      <c r="N203" s="171"/>
      <c r="O203" s="151"/>
      <c r="P203" s="151"/>
      <c r="Q203" s="76" t="s">
        <v>132</v>
      </c>
    </row>
    <row r="204" spans="1:17">
      <c r="A204" s="157" t="s">
        <v>98</v>
      </c>
      <c r="B204" s="160" t="str">
        <f t="shared" si="34"/>
        <v>제작</v>
      </c>
      <c r="C204" s="163" t="str">
        <f>IFERROR(VLOOKUP(A204,'거래소 최저가'!F:G,2,FALSE),"")</f>
        <v/>
      </c>
      <c r="D204" s="175" t="str">
        <f t="shared" si="37"/>
        <v/>
      </c>
      <c r="E204" s="166">
        <f t="shared" si="32"/>
        <v>4.666666666666667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63">
        <f>IF(ISBLANK(A204),"",SUM(H204:H$207)-SUM(I205:I$207))</f>
        <v>14</v>
      </c>
      <c r="J204" s="163">
        <v>216</v>
      </c>
      <c r="K204" s="163">
        <f>IF(J204=1,1,INT(J204*(1-IF(Q204="배틀아이템",검색!$I$23,IF(Q204="요리",검색!$J$23,IF(Q204="특수",검색!$K$23,IF(Q204="생활도구",검색!$L$23))))*0.01)))</f>
        <v>201</v>
      </c>
      <c r="L204" s="163">
        <v>3</v>
      </c>
      <c r="M204" s="163">
        <f>L204*(1+0.01*IF(Q204="배틀아이템",검색!$I$21,IF(Q204="요리",검색!$J$21,IF(Q204="특수",검색!$K$21,IF(Q204="생활도구",검색!$L$21)))))</f>
        <v>3.1500000000000004</v>
      </c>
      <c r="N204" s="163" t="str">
        <f t="shared" si="38"/>
        <v/>
      </c>
      <c r="O204" s="149" t="e">
        <f t="shared" si="35"/>
        <v>#VALUE!</v>
      </c>
      <c r="P204" s="149" t="e">
        <f t="shared" si="39"/>
        <v>#VALUE!</v>
      </c>
      <c r="Q204" s="73" t="s">
        <v>132</v>
      </c>
    </row>
    <row r="205" spans="1:17">
      <c r="A205" s="158"/>
      <c r="B205" s="161"/>
      <c r="C205" s="164"/>
      <c r="D205" s="176"/>
      <c r="E205" s="167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64"/>
      <c r="J205" s="164"/>
      <c r="K205" s="164"/>
      <c r="L205" s="164"/>
      <c r="M205" s="164"/>
      <c r="N205" s="164"/>
      <c r="O205" s="150"/>
      <c r="P205" s="150"/>
      <c r="Q205" s="74" t="s">
        <v>132</v>
      </c>
    </row>
    <row r="206" spans="1:17">
      <c r="A206" s="158"/>
      <c r="B206" s="161"/>
      <c r="C206" s="164"/>
      <c r="D206" s="176"/>
      <c r="E206" s="167"/>
      <c r="F206" s="37" t="s">
        <v>18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64"/>
      <c r="J206" s="164"/>
      <c r="K206" s="164"/>
      <c r="L206" s="164"/>
      <c r="M206" s="164"/>
      <c r="N206" s="164"/>
      <c r="O206" s="150"/>
      <c r="P206" s="150"/>
      <c r="Q206" s="74" t="s">
        <v>132</v>
      </c>
    </row>
    <row r="207" spans="1:17" ht="17.25" thickBot="1">
      <c r="A207" s="169"/>
      <c r="B207" s="170"/>
      <c r="C207" s="171"/>
      <c r="D207" s="183"/>
      <c r="E207" s="172"/>
      <c r="F207" s="38" t="s">
        <v>19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14</v>
      </c>
      <c r="I207" s="171"/>
      <c r="J207" s="171"/>
      <c r="K207" s="171"/>
      <c r="L207" s="171"/>
      <c r="M207" s="171"/>
      <c r="N207" s="171"/>
      <c r="O207" s="151"/>
      <c r="P207" s="151"/>
      <c r="Q207" s="76" t="s">
        <v>132</v>
      </c>
    </row>
    <row r="208" spans="1:17">
      <c r="A208" s="157" t="s">
        <v>99</v>
      </c>
      <c r="B208" s="160" t="str">
        <f t="shared" si="34"/>
        <v>구매</v>
      </c>
      <c r="C208" s="163" t="str">
        <f>IFERROR(VLOOKUP(A208,'거래소 최저가'!F:G,2,FALSE),"")</f>
        <v/>
      </c>
      <c r="D208" s="175" t="str">
        <f t="shared" si="37"/>
        <v/>
      </c>
      <c r="E208" s="166" t="str">
        <f t="shared" si="32"/>
        <v/>
      </c>
      <c r="F208" s="36" t="s">
        <v>102</v>
      </c>
      <c r="G208" s="36">
        <v>3</v>
      </c>
      <c r="H208" s="36">
        <f>VLOOKUP("정령의 회복약",A:E,5,FALSE)*3</f>
        <v>28</v>
      </c>
      <c r="I208" s="163" t="e">
        <f t="shared" ref="I208:I269" si="40">IF(ISBLANK(A208),"",SUM(H208:H1208)-SUM(I209:I1209))</f>
        <v>#VALUE!</v>
      </c>
      <c r="J208" s="163">
        <v>360</v>
      </c>
      <c r="K208" s="163">
        <f>IF(J208=1,1,INT(J208*(1-IF(Q208="배틀아이템",검색!$I$23,IF(Q208="요리",검색!$J$23,IF(Q208="특수",검색!$K$23,IF(Q208="생활도구",검색!$L$23))))*0.01)))</f>
        <v>336</v>
      </c>
      <c r="L208" s="163">
        <v>2</v>
      </c>
      <c r="M208" s="163">
        <f>L208*(1+0.01*IF(Q208="배틀아이템",검색!$I$21,IF(Q208="요리",검색!$J$21,IF(Q208="특수",검색!$K$21,IF(Q208="생활도구",검색!$L$21)))))</f>
        <v>2.1</v>
      </c>
      <c r="N208" s="163" t="str">
        <f t="shared" si="38"/>
        <v/>
      </c>
      <c r="O208" s="149" t="e">
        <f t="shared" si="35"/>
        <v>#VALUE!</v>
      </c>
      <c r="P208" s="149" t="e">
        <f t="shared" si="39"/>
        <v>#VALUE!</v>
      </c>
      <c r="Q208" s="73" t="s">
        <v>132</v>
      </c>
    </row>
    <row r="209" spans="1:17">
      <c r="A209" s="158"/>
      <c r="B209" s="161"/>
      <c r="C209" s="164"/>
      <c r="D209" s="176"/>
      <c r="E209" s="167"/>
      <c r="F209" s="37" t="s">
        <v>18</v>
      </c>
      <c r="G209" s="37">
        <v>8</v>
      </c>
      <c r="H209" s="93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64"/>
      <c r="J209" s="164"/>
      <c r="K209" s="164"/>
      <c r="L209" s="164"/>
      <c r="M209" s="164"/>
      <c r="N209" s="164"/>
      <c r="O209" s="150"/>
      <c r="P209" s="150"/>
      <c r="Q209" s="74" t="s">
        <v>132</v>
      </c>
    </row>
    <row r="210" spans="1:17" ht="17.25" thickBot="1">
      <c r="A210" s="169"/>
      <c r="B210" s="170"/>
      <c r="C210" s="171"/>
      <c r="D210" s="176"/>
      <c r="E210" s="172"/>
      <c r="F210" s="38" t="s">
        <v>19</v>
      </c>
      <c r="G210" s="38">
        <v>30</v>
      </c>
      <c r="H210" s="93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28</v>
      </c>
      <c r="I210" s="171"/>
      <c r="J210" s="171"/>
      <c r="K210" s="171"/>
      <c r="L210" s="171"/>
      <c r="M210" s="171"/>
      <c r="N210" s="171"/>
      <c r="O210" s="151"/>
      <c r="P210" s="151"/>
      <c r="Q210" s="76" t="s">
        <v>132</v>
      </c>
    </row>
    <row r="211" spans="1:17">
      <c r="A211" s="157" t="s">
        <v>100</v>
      </c>
      <c r="B211" s="160" t="str">
        <f t="shared" si="34"/>
        <v>구매</v>
      </c>
      <c r="C211" s="163" t="str">
        <f>IFERROR(VLOOKUP(A211,'거래소 최저가'!F:G,2,FALSE),"")</f>
        <v/>
      </c>
      <c r="D211" s="163" t="str">
        <f t="shared" si="37"/>
        <v/>
      </c>
      <c r="E211" s="166" t="str">
        <f t="shared" ref="E211:E229" si="41">IFERROR(IF(ISBLANK(A211),"",I211/L211),"")</f>
        <v/>
      </c>
      <c r="F211" s="90" t="s">
        <v>101</v>
      </c>
      <c r="G211" s="90">
        <v>3</v>
      </c>
      <c r="H211" s="90" t="e">
        <f>VLOOKUP("정령의 회복약",A:C,3,FALSE)*3</f>
        <v>#VALUE!</v>
      </c>
      <c r="I211" s="163" t="e">
        <f t="shared" si="40"/>
        <v>#VALUE!</v>
      </c>
      <c r="J211" s="163">
        <v>360</v>
      </c>
      <c r="K211" s="163">
        <f>IF(J211=1,1,INT(J211*(1-IF(Q211="배틀아이템",검색!$I$23,IF(Q211="요리",검색!$J$23,IF(Q211="특수",검색!$K$23,IF(Q211="생활도구",검색!$L$23))))*0.01)))</f>
        <v>336</v>
      </c>
      <c r="L211" s="163">
        <v>2</v>
      </c>
      <c r="M211" s="163">
        <f>L211*(1+0.01*IF(Q211="배틀아이템",검색!$I$21,IF(Q211="요리",검색!$J$21,IF(Q211="특수",검색!$K$21,IF(Q211="생활도구",검색!$L$21)))))</f>
        <v>2.1</v>
      </c>
      <c r="N211" s="163" t="str">
        <f t="shared" si="38"/>
        <v/>
      </c>
      <c r="O211" s="149" t="e">
        <f t="shared" si="35"/>
        <v>#VALUE!</v>
      </c>
      <c r="P211" s="146" t="e">
        <f t="shared" si="39"/>
        <v>#VALUE!</v>
      </c>
      <c r="Q211" s="79" t="s">
        <v>132</v>
      </c>
    </row>
    <row r="212" spans="1:17">
      <c r="A212" s="158"/>
      <c r="B212" s="161"/>
      <c r="C212" s="164"/>
      <c r="D212" s="164"/>
      <c r="E212" s="167"/>
      <c r="F212" s="91" t="s">
        <v>18</v>
      </c>
      <c r="G212" s="91">
        <v>8</v>
      </c>
      <c r="H212" s="91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64"/>
      <c r="J212" s="164"/>
      <c r="K212" s="164"/>
      <c r="L212" s="164"/>
      <c r="M212" s="164"/>
      <c r="N212" s="164"/>
      <c r="O212" s="150"/>
      <c r="P212" s="147"/>
      <c r="Q212" s="80" t="s">
        <v>132</v>
      </c>
    </row>
    <row r="213" spans="1:17" ht="17.25" thickBot="1">
      <c r="A213" s="159"/>
      <c r="B213" s="162"/>
      <c r="C213" s="165"/>
      <c r="D213" s="165"/>
      <c r="E213" s="168"/>
      <c r="F213" s="92" t="s">
        <v>19</v>
      </c>
      <c r="G213" s="92">
        <v>30</v>
      </c>
      <c r="H213" s="92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28</v>
      </c>
      <c r="I213" s="165"/>
      <c r="J213" s="165"/>
      <c r="K213" s="165"/>
      <c r="L213" s="165"/>
      <c r="M213" s="165"/>
      <c r="N213" s="165"/>
      <c r="O213" s="154"/>
      <c r="P213" s="148"/>
      <c r="Q213" s="82" t="s">
        <v>132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2021-10-26T02:59:36Z</dcterms:modified>
</cp:coreProperties>
</file>