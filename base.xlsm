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F:\코딩\Lostark_CraftTool\"/>
    </mc:Choice>
  </mc:AlternateContent>
  <xr:revisionPtr revIDLastSave="0" documentId="13_ncr:1_{3152C9C1-3E70-4DDA-86C8-5EB7D037175B}" xr6:coauthVersionLast="47" xr6:coauthVersionMax="47" xr10:uidLastSave="{00000000-0000-0000-0000-000000000000}"/>
  <bookViews>
    <workbookView xWindow="435" yWindow="1635" windowWidth="23205" windowHeight="19770" xr2:uid="{C8320891-4347-4880-8DFD-1761A2BACF2C}"/>
  </bookViews>
  <sheets>
    <sheet name="검색" sheetId="1" r:id="rId1"/>
    <sheet name="거래소 최저가" sheetId="4" r:id="rId2"/>
    <sheet name="제작리스트" sheetId="5" r:id="rId3"/>
  </sheets>
  <definedNames>
    <definedName name="_xlnm._FilterDatabase" localSheetId="1" hidden="1">'거래소 최저가'!$D$1:$D$7</definedName>
    <definedName name="_xlnm._FilterDatabase" localSheetId="0" hidden="1">검색!$B$21:$F$21</definedName>
    <definedName name="_xlnm._FilterDatabase" localSheetId="2" hidden="1">제작리스트!$A$1:$N$478</definedName>
    <definedName name="ExternalData_16" localSheetId="1" hidden="1">'거래소 최저가'!$A$23:$B$29</definedName>
    <definedName name="ExternalData_17" localSheetId="1" hidden="1">'거래소 최저가'!$A$30:$B$35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2" i="5" l="1"/>
  <c r="D112" i="5" s="1"/>
  <c r="M2" i="5"/>
  <c r="M5" i="5"/>
  <c r="M10" i="5"/>
  <c r="M13" i="5"/>
  <c r="M16" i="5"/>
  <c r="M20" i="5"/>
  <c r="M24" i="5"/>
  <c r="M28" i="5"/>
  <c r="M32" i="5"/>
  <c r="M36" i="5"/>
  <c r="M40" i="5"/>
  <c r="M44" i="5"/>
  <c r="M48" i="5"/>
  <c r="M52" i="5"/>
  <c r="M56" i="5"/>
  <c r="M61" i="5"/>
  <c r="M68" i="5"/>
  <c r="M75" i="5"/>
  <c r="M81" i="5"/>
  <c r="M87" i="5"/>
  <c r="M93" i="5"/>
  <c r="M98" i="5"/>
  <c r="M103" i="5"/>
  <c r="M108" i="5"/>
  <c r="M112" i="5"/>
  <c r="M117" i="5"/>
  <c r="M122" i="5"/>
  <c r="M127" i="5"/>
  <c r="M132" i="5"/>
  <c r="M137" i="5"/>
  <c r="M142" i="5"/>
  <c r="M147" i="5"/>
  <c r="M152" i="5"/>
  <c r="M157" i="5"/>
  <c r="M162" i="5"/>
  <c r="M167" i="5"/>
  <c r="M172" i="5"/>
  <c r="M176" i="5"/>
  <c r="M182" i="5"/>
  <c r="M186" i="5"/>
  <c r="M190" i="5"/>
  <c r="M194" i="5"/>
  <c r="M198" i="5"/>
  <c r="M204" i="5"/>
  <c r="M208" i="5"/>
  <c r="M211" i="5"/>
  <c r="K2" i="5"/>
  <c r="K5" i="5"/>
  <c r="K10" i="5"/>
  <c r="K13" i="5"/>
  <c r="K16" i="5"/>
  <c r="K20" i="5"/>
  <c r="K24" i="5"/>
  <c r="K28" i="5"/>
  <c r="K32" i="5"/>
  <c r="K36" i="5"/>
  <c r="K40" i="5"/>
  <c r="K44" i="5"/>
  <c r="K48" i="5"/>
  <c r="K52" i="5"/>
  <c r="K56" i="5"/>
  <c r="K61" i="5"/>
  <c r="K68" i="5"/>
  <c r="K75" i="5"/>
  <c r="K81" i="5"/>
  <c r="K87" i="5"/>
  <c r="K93" i="5"/>
  <c r="K98" i="5"/>
  <c r="K103" i="5"/>
  <c r="K108" i="5"/>
  <c r="K112" i="5"/>
  <c r="K117" i="5"/>
  <c r="K122" i="5"/>
  <c r="K127" i="5"/>
  <c r="K132" i="5"/>
  <c r="K137" i="5"/>
  <c r="K142" i="5"/>
  <c r="K147" i="5"/>
  <c r="K152" i="5"/>
  <c r="K157" i="5"/>
  <c r="K162" i="5"/>
  <c r="K167" i="5"/>
  <c r="K172" i="5"/>
  <c r="K176" i="5"/>
  <c r="K182" i="5"/>
  <c r="K186" i="5"/>
  <c r="K190" i="5"/>
  <c r="K194" i="5"/>
  <c r="K198" i="5"/>
  <c r="K204" i="5"/>
  <c r="K208" i="5"/>
  <c r="K211" i="5"/>
  <c r="C61" i="5"/>
  <c r="D61" i="5" s="1"/>
  <c r="H213" i="5"/>
  <c r="H212" i="5"/>
  <c r="H210" i="5"/>
  <c r="H209" i="5"/>
  <c r="H2" i="5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54" i="5"/>
  <c r="H155" i="5"/>
  <c r="H156" i="5"/>
  <c r="H157" i="5"/>
  <c r="H158" i="5"/>
  <c r="H159" i="5"/>
  <c r="H160" i="5"/>
  <c r="H161" i="5"/>
  <c r="H162" i="5"/>
  <c r="H163" i="5"/>
  <c r="H164" i="5"/>
  <c r="H165" i="5"/>
  <c r="H166" i="5"/>
  <c r="H167" i="5"/>
  <c r="H168" i="5"/>
  <c r="H169" i="5"/>
  <c r="H170" i="5"/>
  <c r="H171" i="5"/>
  <c r="H172" i="5"/>
  <c r="H173" i="5"/>
  <c r="H174" i="5"/>
  <c r="H175" i="5"/>
  <c r="H176" i="5"/>
  <c r="H177" i="5"/>
  <c r="H178" i="5"/>
  <c r="H179" i="5"/>
  <c r="H180" i="5"/>
  <c r="H181" i="5"/>
  <c r="H182" i="5"/>
  <c r="H183" i="5"/>
  <c r="H184" i="5"/>
  <c r="H185" i="5"/>
  <c r="H186" i="5"/>
  <c r="H187" i="5"/>
  <c r="H188" i="5"/>
  <c r="H189" i="5"/>
  <c r="H190" i="5"/>
  <c r="H191" i="5"/>
  <c r="H192" i="5"/>
  <c r="H193" i="5"/>
  <c r="H194" i="5"/>
  <c r="H195" i="5"/>
  <c r="H196" i="5"/>
  <c r="H197" i="5"/>
  <c r="H198" i="5"/>
  <c r="H199" i="5"/>
  <c r="H200" i="5"/>
  <c r="H201" i="5"/>
  <c r="H202" i="5"/>
  <c r="H203" i="5"/>
  <c r="H204" i="5"/>
  <c r="H205" i="5"/>
  <c r="H206" i="5"/>
  <c r="H207" i="5"/>
  <c r="C2" i="5"/>
  <c r="C5" i="5"/>
  <c r="C10" i="5"/>
  <c r="D10" i="5" s="1"/>
  <c r="C13" i="5"/>
  <c r="D13" i="5" s="1"/>
  <c r="C16" i="5"/>
  <c r="D16" i="5" s="1"/>
  <c r="C56" i="5"/>
  <c r="D56" i="5" s="1"/>
  <c r="C68" i="5"/>
  <c r="C75" i="5"/>
  <c r="C81" i="5"/>
  <c r="D81" i="5" s="1"/>
  <c r="C87" i="5"/>
  <c r="D87" i="5" s="1"/>
  <c r="C93" i="5"/>
  <c r="D93" i="5" s="1"/>
  <c r="C98" i="5"/>
  <c r="D98" i="5" s="1"/>
  <c r="C103" i="5"/>
  <c r="D103" i="5" s="1"/>
  <c r="C108" i="5"/>
  <c r="D108" i="5" s="1"/>
  <c r="C117" i="5"/>
  <c r="D117" i="5" s="1"/>
  <c r="C122" i="5"/>
  <c r="D122" i="5" s="1"/>
  <c r="C127" i="5"/>
  <c r="D127" i="5" s="1"/>
  <c r="C132" i="5"/>
  <c r="D132" i="5" s="1"/>
  <c r="C137" i="5"/>
  <c r="D137" i="5" s="1"/>
  <c r="C142" i="5"/>
  <c r="D142" i="5" s="1"/>
  <c r="C147" i="5"/>
  <c r="D147" i="5" s="1"/>
  <c r="C152" i="5"/>
  <c r="C157" i="5"/>
  <c r="C162" i="5"/>
  <c r="D162" i="5" s="1"/>
  <c r="C167" i="5"/>
  <c r="D167" i="5" s="1"/>
  <c r="C172" i="5"/>
  <c r="D172" i="5" s="1"/>
  <c r="C176" i="5"/>
  <c r="D176" i="5" s="1"/>
  <c r="C182" i="5"/>
  <c r="D182" i="5" s="1"/>
  <c r="C186" i="5"/>
  <c r="D186" i="5" s="1"/>
  <c r="C190" i="5"/>
  <c r="D190" i="5" s="1"/>
  <c r="C194" i="5"/>
  <c r="D194" i="5" s="1"/>
  <c r="C198" i="5"/>
  <c r="D198" i="5" s="1"/>
  <c r="C204" i="5"/>
  <c r="D204" i="5" s="1"/>
  <c r="G18" i="1"/>
  <c r="G92" i="4"/>
  <c r="C52" i="5" s="1"/>
  <c r="G91" i="4"/>
  <c r="C44" i="5" s="1"/>
  <c r="D44" i="5" s="1"/>
  <c r="G90" i="4"/>
  <c r="C48" i="5" s="1"/>
  <c r="D48" i="5" s="1"/>
  <c r="A17" i="1"/>
  <c r="D52" i="5" l="1"/>
  <c r="D157" i="5"/>
  <c r="D75" i="5"/>
  <c r="D5" i="5"/>
  <c r="D152" i="5"/>
  <c r="D68" i="5"/>
  <c r="D2" i="5"/>
  <c r="H214" i="5"/>
  <c r="H215" i="5"/>
  <c r="H216" i="5"/>
  <c r="H217" i="5"/>
  <c r="H218" i="5"/>
  <c r="H219" i="5"/>
  <c r="H220" i="5"/>
  <c r="H221" i="5"/>
  <c r="H222" i="5"/>
  <c r="H223" i="5"/>
  <c r="H224" i="5"/>
  <c r="H225" i="5"/>
  <c r="H226" i="5"/>
  <c r="H227" i="5"/>
  <c r="H228" i="5"/>
  <c r="H229" i="5"/>
  <c r="H230" i="5"/>
  <c r="H231" i="5"/>
  <c r="H232" i="5"/>
  <c r="H233" i="5"/>
  <c r="H234" i="5"/>
  <c r="H235" i="5"/>
  <c r="H236" i="5"/>
  <c r="H237" i="5"/>
  <c r="H238" i="5"/>
  <c r="H239" i="5"/>
  <c r="H240" i="5"/>
  <c r="H241" i="5"/>
  <c r="H242" i="5"/>
  <c r="H243" i="5"/>
  <c r="H244" i="5"/>
  <c r="H245" i="5"/>
  <c r="H246" i="5"/>
  <c r="H247" i="5"/>
  <c r="H248" i="5"/>
  <c r="H249" i="5"/>
  <c r="H250" i="5"/>
  <c r="H251" i="5"/>
  <c r="H252" i="5"/>
  <c r="H253" i="5"/>
  <c r="H254" i="5"/>
  <c r="H255" i="5"/>
  <c r="H256" i="5"/>
  <c r="H257" i="5"/>
  <c r="H258" i="5"/>
  <c r="H259" i="5"/>
  <c r="H260" i="5"/>
  <c r="H261" i="5"/>
  <c r="H262" i="5"/>
  <c r="H263" i="5"/>
  <c r="H264" i="5"/>
  <c r="H265" i="5"/>
  <c r="H266" i="5"/>
  <c r="H267" i="5"/>
  <c r="H268" i="5"/>
  <c r="H269" i="5"/>
  <c r="H270" i="5"/>
  <c r="H271" i="5"/>
  <c r="H272" i="5"/>
  <c r="H273" i="5"/>
  <c r="H274" i="5"/>
  <c r="H275" i="5"/>
  <c r="H276" i="5"/>
  <c r="G100" i="4"/>
  <c r="C211" i="5" s="1"/>
  <c r="G99" i="4"/>
  <c r="C208" i="5" s="1"/>
  <c r="D18" i="1" s="1"/>
  <c r="B214" i="5"/>
  <c r="B215" i="5"/>
  <c r="B216" i="5"/>
  <c r="B217" i="5"/>
  <c r="B218" i="5"/>
  <c r="B219" i="5"/>
  <c r="B220" i="5"/>
  <c r="B221" i="5"/>
  <c r="B222" i="5"/>
  <c r="B223" i="5"/>
  <c r="B224" i="5"/>
  <c r="B225" i="5"/>
  <c r="B226" i="5"/>
  <c r="B227" i="5"/>
  <c r="B228" i="5"/>
  <c r="B229" i="5"/>
  <c r="B230" i="5"/>
  <c r="B231" i="5"/>
  <c r="B232" i="5"/>
  <c r="B233" i="5"/>
  <c r="B234" i="5"/>
  <c r="B235" i="5"/>
  <c r="B236" i="5"/>
  <c r="B237" i="5"/>
  <c r="B238" i="5"/>
  <c r="B239" i="5"/>
  <c r="B240" i="5"/>
  <c r="B241" i="5"/>
  <c r="B242" i="5"/>
  <c r="B243" i="5"/>
  <c r="B244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G84" i="4"/>
  <c r="C24" i="5" s="1"/>
  <c r="N214" i="5"/>
  <c r="N215" i="5"/>
  <c r="N216" i="5"/>
  <c r="N217" i="5"/>
  <c r="N218" i="5"/>
  <c r="N219" i="5"/>
  <c r="N220" i="5"/>
  <c r="N221" i="5"/>
  <c r="N222" i="5"/>
  <c r="N223" i="5"/>
  <c r="N224" i="5"/>
  <c r="N225" i="5"/>
  <c r="N226" i="5"/>
  <c r="N227" i="5"/>
  <c r="N228" i="5"/>
  <c r="N229" i="5"/>
  <c r="N230" i="5"/>
  <c r="N231" i="5"/>
  <c r="N232" i="5"/>
  <c r="N233" i="5"/>
  <c r="N234" i="5"/>
  <c r="N235" i="5"/>
  <c r="N236" i="5"/>
  <c r="N237" i="5"/>
  <c r="N238" i="5"/>
  <c r="N239" i="5"/>
  <c r="N240" i="5"/>
  <c r="N241" i="5"/>
  <c r="N242" i="5"/>
  <c r="N243" i="5"/>
  <c r="N244" i="5"/>
  <c r="N245" i="5"/>
  <c r="N246" i="5"/>
  <c r="N247" i="5"/>
  <c r="N248" i="5"/>
  <c r="N249" i="5"/>
  <c r="N250" i="5"/>
  <c r="N251" i="5"/>
  <c r="N252" i="5"/>
  <c r="N253" i="5"/>
  <c r="N254" i="5"/>
  <c r="N255" i="5"/>
  <c r="N256" i="5"/>
  <c r="N257" i="5"/>
  <c r="N258" i="5"/>
  <c r="N259" i="5"/>
  <c r="N260" i="5"/>
  <c r="N261" i="5"/>
  <c r="N262" i="5"/>
  <c r="N263" i="5"/>
  <c r="N264" i="5"/>
  <c r="N265" i="5"/>
  <c r="N266" i="5"/>
  <c r="N267" i="5"/>
  <c r="N268" i="5"/>
  <c r="N269" i="5"/>
  <c r="N270" i="5"/>
  <c r="N271" i="5"/>
  <c r="N272" i="5"/>
  <c r="N273" i="5"/>
  <c r="N274" i="5"/>
  <c r="N275" i="5"/>
  <c r="N276" i="5"/>
  <c r="N277" i="5"/>
  <c r="N278" i="5"/>
  <c r="N279" i="5"/>
  <c r="N280" i="5"/>
  <c r="N281" i="5"/>
  <c r="N282" i="5"/>
  <c r="N283" i="5"/>
  <c r="N284" i="5"/>
  <c r="N285" i="5"/>
  <c r="N286" i="5"/>
  <c r="N287" i="5"/>
  <c r="N288" i="5"/>
  <c r="N289" i="5"/>
  <c r="N290" i="5"/>
  <c r="N291" i="5"/>
  <c r="N292" i="5"/>
  <c r="N293" i="5"/>
  <c r="N294" i="5"/>
  <c r="N295" i="5"/>
  <c r="N296" i="5"/>
  <c r="N297" i="5"/>
  <c r="N298" i="5"/>
  <c r="N299" i="5"/>
  <c r="N300" i="5"/>
  <c r="N301" i="5"/>
  <c r="N302" i="5"/>
  <c r="N303" i="5"/>
  <c r="N304" i="5"/>
  <c r="N305" i="5"/>
  <c r="N306" i="5"/>
  <c r="N307" i="5"/>
  <c r="N308" i="5"/>
  <c r="N309" i="5"/>
  <c r="N310" i="5"/>
  <c r="N311" i="5"/>
  <c r="N312" i="5"/>
  <c r="N313" i="5"/>
  <c r="N314" i="5"/>
  <c r="N315" i="5"/>
  <c r="N316" i="5"/>
  <c r="N317" i="5"/>
  <c r="N318" i="5"/>
  <c r="N319" i="5"/>
  <c r="N320" i="5"/>
  <c r="N321" i="5"/>
  <c r="N322" i="5"/>
  <c r="N323" i="5"/>
  <c r="N324" i="5"/>
  <c r="N325" i="5"/>
  <c r="N326" i="5"/>
  <c r="N327" i="5"/>
  <c r="N328" i="5"/>
  <c r="N329" i="5"/>
  <c r="N330" i="5"/>
  <c r="N331" i="5"/>
  <c r="N332" i="5"/>
  <c r="N333" i="5"/>
  <c r="N334" i="5"/>
  <c r="N335" i="5"/>
  <c r="N336" i="5"/>
  <c r="N337" i="5"/>
  <c r="N338" i="5"/>
  <c r="N339" i="5"/>
  <c r="N340" i="5"/>
  <c r="N341" i="5"/>
  <c r="N342" i="5"/>
  <c r="N343" i="5"/>
  <c r="N344" i="5"/>
  <c r="N345" i="5"/>
  <c r="N346" i="5"/>
  <c r="N347" i="5"/>
  <c r="N348" i="5"/>
  <c r="N349" i="5"/>
  <c r="N350" i="5"/>
  <c r="N351" i="5"/>
  <c r="N352" i="5"/>
  <c r="N353" i="5"/>
  <c r="N354" i="5"/>
  <c r="N355" i="5"/>
  <c r="N356" i="5"/>
  <c r="I214" i="5"/>
  <c r="I215" i="5"/>
  <c r="I216" i="5"/>
  <c r="I217" i="5"/>
  <c r="I218" i="5"/>
  <c r="I219" i="5"/>
  <c r="I220" i="5"/>
  <c r="I221" i="5"/>
  <c r="I222" i="5"/>
  <c r="I223" i="5"/>
  <c r="I224" i="5"/>
  <c r="I225" i="5"/>
  <c r="I226" i="5"/>
  <c r="I227" i="5"/>
  <c r="I228" i="5"/>
  <c r="I229" i="5"/>
  <c r="I230" i="5"/>
  <c r="I231" i="5"/>
  <c r="I232" i="5"/>
  <c r="I233" i="5"/>
  <c r="I234" i="5"/>
  <c r="I235" i="5"/>
  <c r="I236" i="5"/>
  <c r="I237" i="5"/>
  <c r="I238" i="5"/>
  <c r="I239" i="5"/>
  <c r="I240" i="5"/>
  <c r="I241" i="5"/>
  <c r="I242" i="5"/>
  <c r="I243" i="5"/>
  <c r="I244" i="5"/>
  <c r="I245" i="5"/>
  <c r="I246" i="5"/>
  <c r="I247" i="5"/>
  <c r="I248" i="5"/>
  <c r="I249" i="5"/>
  <c r="I250" i="5"/>
  <c r="I251" i="5"/>
  <c r="I252" i="5"/>
  <c r="I253" i="5"/>
  <c r="I254" i="5"/>
  <c r="I255" i="5"/>
  <c r="I256" i="5"/>
  <c r="I257" i="5"/>
  <c r="I258" i="5"/>
  <c r="I259" i="5"/>
  <c r="I260" i="5"/>
  <c r="I261" i="5"/>
  <c r="I262" i="5"/>
  <c r="I263" i="5"/>
  <c r="I264" i="5"/>
  <c r="I265" i="5"/>
  <c r="I266" i="5"/>
  <c r="I267" i="5"/>
  <c r="I268" i="5"/>
  <c r="I269" i="5"/>
  <c r="I270" i="5"/>
  <c r="I271" i="5"/>
  <c r="I272" i="5"/>
  <c r="I273" i="5"/>
  <c r="I274" i="5"/>
  <c r="I275" i="5"/>
  <c r="I276" i="5"/>
  <c r="I277" i="5"/>
  <c r="I278" i="5"/>
  <c r="I279" i="5"/>
  <c r="I280" i="5"/>
  <c r="I281" i="5"/>
  <c r="I282" i="5"/>
  <c r="I283" i="5"/>
  <c r="I284" i="5"/>
  <c r="I285" i="5"/>
  <c r="I286" i="5"/>
  <c r="I287" i="5"/>
  <c r="I288" i="5"/>
  <c r="I289" i="5"/>
  <c r="I290" i="5"/>
  <c r="I291" i="5"/>
  <c r="I292" i="5"/>
  <c r="I293" i="5"/>
  <c r="I294" i="5"/>
  <c r="I295" i="5"/>
  <c r="I296" i="5"/>
  <c r="I297" i="5"/>
  <c r="I298" i="5"/>
  <c r="I299" i="5"/>
  <c r="I300" i="5"/>
  <c r="I301" i="5"/>
  <c r="I302" i="5"/>
  <c r="I303" i="5"/>
  <c r="I304" i="5"/>
  <c r="I305" i="5"/>
  <c r="I306" i="5"/>
  <c r="I307" i="5"/>
  <c r="I308" i="5"/>
  <c r="I309" i="5"/>
  <c r="I310" i="5"/>
  <c r="I311" i="5"/>
  <c r="I312" i="5"/>
  <c r="I313" i="5"/>
  <c r="I314" i="5"/>
  <c r="I315" i="5"/>
  <c r="I316" i="5"/>
  <c r="I317" i="5"/>
  <c r="I318" i="5"/>
  <c r="I319" i="5"/>
  <c r="I320" i="5"/>
  <c r="I321" i="5"/>
  <c r="I322" i="5"/>
  <c r="I323" i="5"/>
  <c r="I324" i="5"/>
  <c r="I325" i="5"/>
  <c r="I326" i="5"/>
  <c r="I327" i="5"/>
  <c r="I328" i="5"/>
  <c r="I329" i="5"/>
  <c r="I330" i="5"/>
  <c r="I331" i="5"/>
  <c r="I332" i="5"/>
  <c r="I333" i="5"/>
  <c r="I334" i="5"/>
  <c r="I335" i="5"/>
  <c r="I336" i="5"/>
  <c r="I337" i="5"/>
  <c r="I338" i="5"/>
  <c r="I339" i="5"/>
  <c r="I340" i="5"/>
  <c r="I341" i="5"/>
  <c r="I342" i="5"/>
  <c r="I343" i="5"/>
  <c r="I344" i="5"/>
  <c r="I345" i="5"/>
  <c r="I346" i="5"/>
  <c r="I347" i="5"/>
  <c r="I348" i="5"/>
  <c r="I349" i="5"/>
  <c r="I350" i="5"/>
  <c r="I351" i="5"/>
  <c r="I352" i="5"/>
  <c r="I353" i="5"/>
  <c r="I354" i="5"/>
  <c r="I355" i="5"/>
  <c r="I356" i="5"/>
  <c r="I357" i="5"/>
  <c r="I358" i="5"/>
  <c r="I359" i="5"/>
  <c r="I360" i="5"/>
  <c r="I361" i="5"/>
  <c r="I362" i="5"/>
  <c r="I363" i="5"/>
  <c r="I364" i="5"/>
  <c r="I365" i="5"/>
  <c r="I366" i="5"/>
  <c r="I367" i="5"/>
  <c r="I368" i="5"/>
  <c r="I369" i="5"/>
  <c r="I370" i="5"/>
  <c r="I371" i="5"/>
  <c r="I372" i="5"/>
  <c r="I373" i="5"/>
  <c r="I374" i="5"/>
  <c r="I375" i="5"/>
  <c r="I376" i="5"/>
  <c r="I377" i="5"/>
  <c r="I378" i="5"/>
  <c r="I379" i="5"/>
  <c r="I380" i="5"/>
  <c r="H277" i="5"/>
  <c r="H278" i="5"/>
  <c r="H279" i="5"/>
  <c r="H280" i="5"/>
  <c r="H281" i="5"/>
  <c r="H282" i="5"/>
  <c r="H283" i="5"/>
  <c r="H284" i="5"/>
  <c r="H285" i="5"/>
  <c r="H286" i="5"/>
  <c r="H287" i="5"/>
  <c r="H288" i="5"/>
  <c r="H289" i="5"/>
  <c r="H290" i="5"/>
  <c r="H291" i="5"/>
  <c r="H292" i="5"/>
  <c r="H293" i="5"/>
  <c r="H294" i="5"/>
  <c r="H295" i="5"/>
  <c r="H296" i="5"/>
  <c r="H297" i="5"/>
  <c r="H298" i="5"/>
  <c r="H299" i="5"/>
  <c r="H300" i="5"/>
  <c r="H301" i="5"/>
  <c r="H302" i="5"/>
  <c r="H303" i="5"/>
  <c r="H304" i="5"/>
  <c r="H305" i="5"/>
  <c r="H306" i="5"/>
  <c r="H307" i="5"/>
  <c r="H308" i="5"/>
  <c r="H309" i="5"/>
  <c r="H310" i="5"/>
  <c r="H311" i="5"/>
  <c r="H312" i="5"/>
  <c r="H313" i="5"/>
  <c r="H314" i="5"/>
  <c r="H315" i="5"/>
  <c r="H316" i="5"/>
  <c r="H317" i="5"/>
  <c r="H318" i="5"/>
  <c r="H319" i="5"/>
  <c r="H320" i="5"/>
  <c r="H321" i="5"/>
  <c r="H322" i="5"/>
  <c r="H323" i="5"/>
  <c r="H324" i="5"/>
  <c r="H325" i="5"/>
  <c r="H326" i="5"/>
  <c r="H327" i="5"/>
  <c r="H328" i="5"/>
  <c r="H329" i="5"/>
  <c r="H330" i="5"/>
  <c r="H331" i="5"/>
  <c r="H332" i="5"/>
  <c r="H333" i="5"/>
  <c r="H334" i="5"/>
  <c r="H335" i="5"/>
  <c r="H336" i="5"/>
  <c r="H337" i="5"/>
  <c r="H338" i="5"/>
  <c r="H339" i="5"/>
  <c r="H340" i="5"/>
  <c r="H341" i="5"/>
  <c r="H342" i="5"/>
  <c r="H343" i="5"/>
  <c r="H344" i="5"/>
  <c r="H345" i="5"/>
  <c r="H346" i="5"/>
  <c r="H347" i="5"/>
  <c r="H348" i="5"/>
  <c r="H349" i="5"/>
  <c r="H350" i="5"/>
  <c r="H351" i="5"/>
  <c r="H352" i="5"/>
  <c r="H353" i="5"/>
  <c r="H354" i="5"/>
  <c r="H355" i="5"/>
  <c r="H356" i="5"/>
  <c r="H357" i="5"/>
  <c r="H358" i="5"/>
  <c r="H359" i="5"/>
  <c r="H360" i="5"/>
  <c r="H361" i="5"/>
  <c r="H362" i="5"/>
  <c r="H363" i="5"/>
  <c r="H364" i="5"/>
  <c r="H365" i="5"/>
  <c r="H366" i="5"/>
  <c r="H367" i="5"/>
  <c r="H368" i="5"/>
  <c r="H369" i="5"/>
  <c r="H370" i="5"/>
  <c r="H371" i="5"/>
  <c r="H372" i="5"/>
  <c r="H373" i="5"/>
  <c r="H374" i="5"/>
  <c r="H375" i="5"/>
  <c r="H376" i="5"/>
  <c r="H377" i="5"/>
  <c r="H378" i="5"/>
  <c r="H379" i="5"/>
  <c r="H380" i="5"/>
  <c r="H381" i="5"/>
  <c r="H382" i="5"/>
  <c r="H383" i="5"/>
  <c r="H384" i="5"/>
  <c r="H385" i="5"/>
  <c r="H386" i="5"/>
  <c r="H387" i="5"/>
  <c r="H388" i="5"/>
  <c r="H389" i="5"/>
  <c r="H390" i="5"/>
  <c r="H391" i="5"/>
  <c r="H392" i="5"/>
  <c r="H393" i="5"/>
  <c r="H394" i="5"/>
  <c r="H395" i="5"/>
  <c r="H396" i="5"/>
  <c r="H397" i="5"/>
  <c r="H398" i="5"/>
  <c r="H399" i="5"/>
  <c r="H400" i="5"/>
  <c r="H401" i="5"/>
  <c r="H402" i="5"/>
  <c r="H403" i="5"/>
  <c r="H404" i="5"/>
  <c r="H405" i="5"/>
  <c r="H406" i="5"/>
  <c r="H407" i="5"/>
  <c r="H408" i="5"/>
  <c r="H409" i="5"/>
  <c r="H410" i="5"/>
  <c r="H411" i="5"/>
  <c r="H412" i="5"/>
  <c r="H413" i="5"/>
  <c r="H414" i="5"/>
  <c r="H415" i="5"/>
  <c r="H416" i="5"/>
  <c r="H417" i="5"/>
  <c r="H418" i="5"/>
  <c r="H419" i="5"/>
  <c r="H420" i="5"/>
  <c r="H421" i="5"/>
  <c r="H422" i="5"/>
  <c r="H423" i="5"/>
  <c r="H424" i="5"/>
  <c r="H425" i="5"/>
  <c r="H426" i="5"/>
  <c r="H427" i="5"/>
  <c r="H428" i="5"/>
  <c r="H429" i="5"/>
  <c r="H430" i="5"/>
  <c r="H431" i="5"/>
  <c r="H432" i="5"/>
  <c r="H433" i="5"/>
  <c r="H434" i="5"/>
  <c r="H435" i="5"/>
  <c r="H436" i="5"/>
  <c r="H437" i="5"/>
  <c r="H438" i="5"/>
  <c r="H439" i="5"/>
  <c r="H440" i="5"/>
  <c r="H441" i="5"/>
  <c r="H442" i="5"/>
  <c r="H443" i="5"/>
  <c r="H444" i="5"/>
  <c r="H445" i="5"/>
  <c r="H446" i="5"/>
  <c r="H447" i="5"/>
  <c r="H448" i="5"/>
  <c r="H449" i="5"/>
  <c r="H450" i="5"/>
  <c r="H451" i="5"/>
  <c r="H452" i="5"/>
  <c r="H453" i="5"/>
  <c r="H454" i="5"/>
  <c r="H455" i="5"/>
  <c r="H456" i="5"/>
  <c r="H457" i="5"/>
  <c r="H458" i="5"/>
  <c r="H459" i="5"/>
  <c r="H460" i="5"/>
  <c r="H461" i="5"/>
  <c r="H462" i="5"/>
  <c r="H463" i="5"/>
  <c r="H464" i="5"/>
  <c r="H465" i="5"/>
  <c r="H466" i="5"/>
  <c r="H467" i="5"/>
  <c r="H468" i="5"/>
  <c r="H469" i="5"/>
  <c r="H470" i="5"/>
  <c r="H471" i="5"/>
  <c r="H472" i="5"/>
  <c r="H473" i="5"/>
  <c r="H474" i="5"/>
  <c r="H475" i="5"/>
  <c r="H476" i="5"/>
  <c r="H477" i="5"/>
  <c r="H478" i="5"/>
  <c r="G89" i="4"/>
  <c r="C40" i="5" s="1"/>
  <c r="G88" i="4"/>
  <c r="C32" i="5" s="1"/>
  <c r="G87" i="4"/>
  <c r="C36" i="5" s="1"/>
  <c r="G86" i="4"/>
  <c r="C28" i="5" s="1"/>
  <c r="G85" i="4"/>
  <c r="C20" i="5" s="1"/>
  <c r="D36" i="5" l="1"/>
  <c r="D20" i="5"/>
  <c r="D32" i="5"/>
  <c r="D211" i="5"/>
  <c r="D28" i="5"/>
  <c r="D24" i="5"/>
  <c r="D40" i="5"/>
  <c r="D208" i="5"/>
  <c r="H211" i="5"/>
  <c r="I211" i="5" s="1"/>
  <c r="I204" i="5"/>
  <c r="N204" i="5" s="1"/>
  <c r="N211" i="5" l="1"/>
  <c r="O211" i="5" s="1"/>
  <c r="P204" i="5"/>
  <c r="P211" i="5"/>
  <c r="O204" i="5"/>
  <c r="E211" i="5"/>
  <c r="B211" i="5" s="1"/>
  <c r="I198" i="5"/>
  <c r="E204" i="5"/>
  <c r="P198" i="5" l="1"/>
  <c r="N198" i="5"/>
  <c r="O198" i="5" s="1"/>
  <c r="I194" i="5"/>
  <c r="B204" i="5"/>
  <c r="E198" i="5"/>
  <c r="P194" i="5" l="1"/>
  <c r="N194" i="5"/>
  <c r="O194" i="5" s="1"/>
  <c r="I190" i="5"/>
  <c r="B198" i="5"/>
  <c r="E194" i="5"/>
  <c r="P190" i="5" l="1"/>
  <c r="N190" i="5"/>
  <c r="O190" i="5" s="1"/>
  <c r="I186" i="5"/>
  <c r="E190" i="5"/>
  <c r="B194" i="5"/>
  <c r="P186" i="5" l="1"/>
  <c r="N186" i="5"/>
  <c r="O186" i="5" s="1"/>
  <c r="I182" i="5"/>
  <c r="E186" i="5"/>
  <c r="B190" i="5"/>
  <c r="P182" i="5" l="1"/>
  <c r="N182" i="5"/>
  <c r="O182" i="5" s="1"/>
  <c r="I176" i="5"/>
  <c r="B186" i="5"/>
  <c r="E182" i="5"/>
  <c r="P176" i="5" l="1"/>
  <c r="N176" i="5"/>
  <c r="O176" i="5" s="1"/>
  <c r="I172" i="5"/>
  <c r="E176" i="5"/>
  <c r="B182" i="5"/>
  <c r="P172" i="5" l="1"/>
  <c r="N172" i="5"/>
  <c r="O172" i="5" s="1"/>
  <c r="I167" i="5"/>
  <c r="E172" i="5"/>
  <c r="B176" i="5"/>
  <c r="P167" i="5" l="1"/>
  <c r="N167" i="5"/>
  <c r="O167" i="5" s="1"/>
  <c r="I162" i="5"/>
  <c r="E167" i="5"/>
  <c r="B172" i="5"/>
  <c r="P162" i="5" l="1"/>
  <c r="N162" i="5"/>
  <c r="O162" i="5" s="1"/>
  <c r="I157" i="5"/>
  <c r="B167" i="5"/>
  <c r="E162" i="5"/>
  <c r="P157" i="5" l="1"/>
  <c r="N157" i="5"/>
  <c r="O157" i="5" s="1"/>
  <c r="I152" i="5"/>
  <c r="E157" i="5"/>
  <c r="B162" i="5"/>
  <c r="P152" i="5" l="1"/>
  <c r="N152" i="5"/>
  <c r="O152" i="5" s="1"/>
  <c r="I147" i="5"/>
  <c r="B157" i="5"/>
  <c r="E152" i="5"/>
  <c r="P147" i="5" l="1"/>
  <c r="N147" i="5"/>
  <c r="O147" i="5" s="1"/>
  <c r="I142" i="5"/>
  <c r="B152" i="5"/>
  <c r="E147" i="5"/>
  <c r="P142" i="5" l="1"/>
  <c r="N142" i="5"/>
  <c r="O142" i="5" s="1"/>
  <c r="I137" i="5"/>
  <c r="E142" i="5"/>
  <c r="B147" i="5"/>
  <c r="P137" i="5" l="1"/>
  <c r="N137" i="5"/>
  <c r="O137" i="5" s="1"/>
  <c r="I132" i="5"/>
  <c r="B142" i="5"/>
  <c r="E137" i="5"/>
  <c r="P132" i="5" l="1"/>
  <c r="N132" i="5"/>
  <c r="O132" i="5" s="1"/>
  <c r="I127" i="5"/>
  <c r="E132" i="5"/>
  <c r="B137" i="5"/>
  <c r="P127" i="5" l="1"/>
  <c r="N127" i="5"/>
  <c r="O127" i="5" s="1"/>
  <c r="I122" i="5"/>
  <c r="E127" i="5"/>
  <c r="B132" i="5"/>
  <c r="P122" i="5" l="1"/>
  <c r="N122" i="5"/>
  <c r="O122" i="5" s="1"/>
  <c r="I117" i="5"/>
  <c r="E122" i="5"/>
  <c r="B127" i="5"/>
  <c r="P117" i="5" l="1"/>
  <c r="N117" i="5"/>
  <c r="O117" i="5" s="1"/>
  <c r="I112" i="5"/>
  <c r="E117" i="5"/>
  <c r="B122" i="5"/>
  <c r="P112" i="5" l="1"/>
  <c r="N112" i="5"/>
  <c r="O112" i="5" s="1"/>
  <c r="I108" i="5"/>
  <c r="B117" i="5"/>
  <c r="E112" i="5"/>
  <c r="P108" i="5" l="1"/>
  <c r="N108" i="5"/>
  <c r="O108" i="5" s="1"/>
  <c r="I103" i="5"/>
  <c r="B112" i="5"/>
  <c r="E108" i="5"/>
  <c r="P103" i="5" l="1"/>
  <c r="N103" i="5"/>
  <c r="O103" i="5" s="1"/>
  <c r="I98" i="5"/>
  <c r="B108" i="5"/>
  <c r="E103" i="5"/>
  <c r="P98" i="5" l="1"/>
  <c r="N98" i="5"/>
  <c r="O98" i="5" s="1"/>
  <c r="I93" i="5"/>
  <c r="B103" i="5"/>
  <c r="E98" i="5"/>
  <c r="P93" i="5" l="1"/>
  <c r="N93" i="5"/>
  <c r="O93" i="5" s="1"/>
  <c r="I87" i="5"/>
  <c r="B98" i="5"/>
  <c r="E93" i="5"/>
  <c r="P87" i="5" l="1"/>
  <c r="N87" i="5"/>
  <c r="O87" i="5" s="1"/>
  <c r="I81" i="5"/>
  <c r="E87" i="5"/>
  <c r="B93" i="5"/>
  <c r="P81" i="5" l="1"/>
  <c r="N81" i="5"/>
  <c r="O81" i="5" s="1"/>
  <c r="I75" i="5"/>
  <c r="B87" i="5"/>
  <c r="E81" i="5"/>
  <c r="P75" i="5" l="1"/>
  <c r="N75" i="5"/>
  <c r="O75" i="5" s="1"/>
  <c r="I68" i="5"/>
  <c r="B81" i="5"/>
  <c r="E75" i="5"/>
  <c r="P68" i="5" l="1"/>
  <c r="N68" i="5"/>
  <c r="O68" i="5" s="1"/>
  <c r="I61" i="5"/>
  <c r="E68" i="5"/>
  <c r="B75" i="5"/>
  <c r="P61" i="5" l="1"/>
  <c r="N61" i="5"/>
  <c r="O61" i="5" s="1"/>
  <c r="I56" i="5"/>
  <c r="E61" i="5"/>
  <c r="B68" i="5"/>
  <c r="P56" i="5" l="1"/>
  <c r="N56" i="5"/>
  <c r="O56" i="5" s="1"/>
  <c r="I52" i="5"/>
  <c r="E56" i="5"/>
  <c r="B61" i="5"/>
  <c r="P52" i="5" l="1"/>
  <c r="N52" i="5"/>
  <c r="O52" i="5" s="1"/>
  <c r="E52" i="5"/>
  <c r="B52" i="5" s="1"/>
  <c r="I48" i="5"/>
  <c r="B56" i="5"/>
  <c r="P48" i="5" l="1"/>
  <c r="N48" i="5"/>
  <c r="O48" i="5" s="1"/>
  <c r="E48" i="5"/>
  <c r="B48" i="5" s="1"/>
  <c r="I44" i="5"/>
  <c r="P44" i="5" l="1"/>
  <c r="N44" i="5"/>
  <c r="O44" i="5" s="1"/>
  <c r="E44" i="5"/>
  <c r="B44" i="5" s="1"/>
  <c r="I40" i="5"/>
  <c r="P40" i="5" l="1"/>
  <c r="N40" i="5"/>
  <c r="O40" i="5" s="1"/>
  <c r="E40" i="5"/>
  <c r="B40" i="5" s="1"/>
  <c r="I36" i="5"/>
  <c r="P36" i="5" l="1"/>
  <c r="N36" i="5"/>
  <c r="O36" i="5" s="1"/>
  <c r="E36" i="5"/>
  <c r="B36" i="5" s="1"/>
  <c r="I32" i="5"/>
  <c r="P32" i="5" l="1"/>
  <c r="N32" i="5"/>
  <c r="O32" i="5" s="1"/>
  <c r="I28" i="5"/>
  <c r="E32" i="5"/>
  <c r="B32" i="5" s="1"/>
  <c r="P28" i="5" l="1"/>
  <c r="N28" i="5"/>
  <c r="O28" i="5" s="1"/>
  <c r="I24" i="5"/>
  <c r="E28" i="5"/>
  <c r="B28" i="5" s="1"/>
  <c r="P24" i="5" l="1"/>
  <c r="N24" i="5"/>
  <c r="O24" i="5" s="1"/>
  <c r="E24" i="5"/>
  <c r="I20" i="5"/>
  <c r="P20" i="5" l="1"/>
  <c r="N20" i="5"/>
  <c r="O20" i="5" s="1"/>
  <c r="E20" i="5"/>
  <c r="B20" i="5" s="1"/>
  <c r="I16" i="5"/>
  <c r="B24" i="5"/>
  <c r="P16" i="5" l="1"/>
  <c r="N16" i="5"/>
  <c r="O16" i="5" s="1"/>
  <c r="I13" i="5"/>
  <c r="E16" i="5"/>
  <c r="P13" i="5" l="1"/>
  <c r="N13" i="5"/>
  <c r="O13" i="5" s="1"/>
  <c r="H208" i="5"/>
  <c r="I208" i="5" s="1"/>
  <c r="B16" i="5"/>
  <c r="I10" i="5"/>
  <c r="E13" i="5"/>
  <c r="B13" i="5" s="1"/>
  <c r="P10" i="5" l="1"/>
  <c r="N10" i="5"/>
  <c r="O10" i="5" s="1"/>
  <c r="P208" i="5"/>
  <c r="N208" i="5"/>
  <c r="O208" i="5" s="1"/>
  <c r="E10" i="5"/>
  <c r="I5" i="5"/>
  <c r="E208" i="5"/>
  <c r="B208" i="5" s="1"/>
  <c r="P5" i="5" l="1"/>
  <c r="N5" i="5"/>
  <c r="O5" i="5" s="1"/>
  <c r="B10" i="5"/>
  <c r="E5" i="5"/>
  <c r="B5" i="5" s="1"/>
  <c r="I2" i="5"/>
  <c r="P2" i="5" l="1"/>
  <c r="N2" i="5"/>
  <c r="O2" i="5" s="1"/>
  <c r="E2" i="5"/>
  <c r="F18" i="1" l="1"/>
  <c r="G23" i="1" a="1"/>
  <c r="G23" i="1" s="1"/>
  <c r="D23" i="1" s="1"/>
  <c r="G22" i="1" a="1"/>
  <c r="G22" i="1" s="1"/>
  <c r="D22" i="1" s="1"/>
  <c r="G21" i="1"/>
  <c r="D21" i="1" s="1"/>
  <c r="B2" i="5"/>
  <c r="C18" i="1" s="1"/>
  <c r="E18" i="1"/>
  <c r="C21" i="1" l="1"/>
  <c r="C22" i="1"/>
  <c r="C23" i="1"/>
</calcChain>
</file>

<file path=xl/sharedStrings.xml><?xml version="1.0" encoding="utf-8"?>
<sst xmlns="http://schemas.openxmlformats.org/spreadsheetml/2006/main" count="612" uniqueCount="152">
  <si>
    <t>들꽃</t>
    <phoneticPr fontId="1" type="noConversion"/>
  </si>
  <si>
    <t>자연산 진주</t>
    <phoneticPr fontId="1" type="noConversion"/>
  </si>
  <si>
    <t>신호탄</t>
    <phoneticPr fontId="1" type="noConversion"/>
  </si>
  <si>
    <t>최저가</t>
  </si>
  <si>
    <t>재료</t>
    <phoneticPr fontId="1" type="noConversion"/>
  </si>
  <si>
    <t>거래소가</t>
    <phoneticPr fontId="1" type="noConversion"/>
  </si>
  <si>
    <t>회복약</t>
    <phoneticPr fontId="1" type="noConversion"/>
  </si>
  <si>
    <t>수줍은 들꽃</t>
    <phoneticPr fontId="1" type="noConversion"/>
  </si>
  <si>
    <t>추천방식</t>
    <phoneticPr fontId="1" type="noConversion"/>
  </si>
  <si>
    <t>고급 회복약</t>
    <phoneticPr fontId="1" type="noConversion"/>
  </si>
  <si>
    <t>투박한 버섯</t>
    <phoneticPr fontId="1" type="noConversion"/>
  </si>
  <si>
    <t>싱싱한 버섯</t>
    <phoneticPr fontId="1" type="noConversion"/>
  </si>
  <si>
    <t>화려한 버섯</t>
    <phoneticPr fontId="1" type="noConversion"/>
  </si>
  <si>
    <t>묵직한 철광석</t>
    <phoneticPr fontId="1" type="noConversion"/>
  </si>
  <si>
    <t>제작가격(개당)</t>
    <phoneticPr fontId="1" type="noConversion"/>
  </si>
  <si>
    <t>제작가격</t>
    <phoneticPr fontId="1" type="noConversion"/>
  </si>
  <si>
    <t>정령의 회복약</t>
    <phoneticPr fontId="1" type="noConversion"/>
  </si>
  <si>
    <t>화사한 들꽃</t>
    <phoneticPr fontId="1" type="noConversion"/>
  </si>
  <si>
    <t>골드</t>
    <phoneticPr fontId="1" type="noConversion"/>
  </si>
  <si>
    <t>수량</t>
    <phoneticPr fontId="1" type="noConversion"/>
  </si>
  <si>
    <t>하급 오레하 융화 재료</t>
  </si>
  <si>
    <t>중급 오레하 융화 재료</t>
  </si>
  <si>
    <t>하급 오레하 융화 재료(수렵)</t>
    <phoneticPr fontId="1" type="noConversion"/>
  </si>
  <si>
    <t>두툼한 생고기</t>
    <phoneticPr fontId="1" type="noConversion"/>
  </si>
  <si>
    <t>오레하 두툼한 생고기</t>
    <phoneticPr fontId="1" type="noConversion"/>
  </si>
  <si>
    <t>질긴 가죽</t>
    <phoneticPr fontId="1" type="noConversion"/>
  </si>
  <si>
    <t>하급 오레하 융화 재료(낚시)</t>
    <phoneticPr fontId="1" type="noConversion"/>
  </si>
  <si>
    <t>생선</t>
    <phoneticPr fontId="1" type="noConversion"/>
  </si>
  <si>
    <t>오레하 태양 잉어</t>
    <phoneticPr fontId="1" type="noConversion"/>
  </si>
  <si>
    <t>하급 오레하 융화 재료(고고학)</t>
    <phoneticPr fontId="1" type="noConversion"/>
  </si>
  <si>
    <t>고대 유물</t>
    <phoneticPr fontId="1" type="noConversion"/>
  </si>
  <si>
    <t>희귀한 유물</t>
    <phoneticPr fontId="1" type="noConversion"/>
  </si>
  <si>
    <t>오레하 유물</t>
    <phoneticPr fontId="1" type="noConversion"/>
  </si>
  <si>
    <t>중급 오레하 융화 재료(수렵)</t>
    <phoneticPr fontId="1" type="noConversion"/>
  </si>
  <si>
    <t>중급 오레하 융화 재료(낚시)</t>
    <phoneticPr fontId="1" type="noConversion"/>
  </si>
  <si>
    <t>중급 오레하 융화 재료(고고학)</t>
    <phoneticPr fontId="1" type="noConversion"/>
  </si>
  <si>
    <t>제작비용</t>
    <phoneticPr fontId="1" type="noConversion"/>
  </si>
  <si>
    <t>페로몬 폭탄</t>
    <phoneticPr fontId="1" type="noConversion"/>
  </si>
  <si>
    <t>아이템명</t>
    <phoneticPr fontId="1" type="noConversion"/>
  </si>
  <si>
    <t>단위</t>
    <phoneticPr fontId="1" type="noConversion"/>
  </si>
  <si>
    <t>붉은 살 생선</t>
    <phoneticPr fontId="1" type="noConversion"/>
  </si>
  <si>
    <t>다듬은 생고기</t>
    <phoneticPr fontId="1" type="noConversion"/>
  </si>
  <si>
    <t>칼다르 태양 잉어</t>
    <phoneticPr fontId="1" type="noConversion"/>
  </si>
  <si>
    <t>칼다르 두툼한 생고기</t>
    <phoneticPr fontId="1" type="noConversion"/>
  </si>
  <si>
    <t>각성 물약</t>
    <phoneticPr fontId="1" type="noConversion"/>
  </si>
  <si>
    <t>튼튼한 목재</t>
    <phoneticPr fontId="1" type="noConversion"/>
  </si>
  <si>
    <t>아드로핀 물약</t>
    <phoneticPr fontId="1" type="noConversion"/>
  </si>
  <si>
    <t>단단한 철광석</t>
    <phoneticPr fontId="1" type="noConversion"/>
  </si>
  <si>
    <t>시간 정지 물약</t>
    <phoneticPr fontId="1" type="noConversion"/>
  </si>
  <si>
    <t>점토 수류탄</t>
  </si>
  <si>
    <t>화염 수류탄</t>
    <phoneticPr fontId="1" type="noConversion"/>
  </si>
  <si>
    <t>암흑 수류탄</t>
    <phoneticPr fontId="1" type="noConversion"/>
  </si>
  <si>
    <t>전기 수류탄</t>
  </si>
  <si>
    <t>냉기 수류탄</t>
  </si>
  <si>
    <t>섬광 수류탄</t>
  </si>
  <si>
    <t>회오리 수류탄</t>
    <phoneticPr fontId="1" type="noConversion"/>
  </si>
  <si>
    <t>부드러운 목재</t>
    <phoneticPr fontId="1" type="noConversion"/>
  </si>
  <si>
    <t>성스러운 부적</t>
    <phoneticPr fontId="1" type="noConversion"/>
  </si>
  <si>
    <t>도구 제작 부품</t>
    <phoneticPr fontId="1" type="noConversion"/>
  </si>
  <si>
    <t>중급 오레하 융화 재료(낚시)</t>
  </si>
  <si>
    <t>중급 오레하 융화 재료(수렵)</t>
  </si>
  <si>
    <t>중급 오레하 융화 재료(고고학)</t>
  </si>
  <si>
    <t>모닥불</t>
  </si>
  <si>
    <t>천둥 물약</t>
  </si>
  <si>
    <t>보호 물약</t>
  </si>
  <si>
    <t>성스러운 폭탄</t>
  </si>
  <si>
    <t>위장 로브</t>
  </si>
  <si>
    <t>만능 물약</t>
  </si>
  <si>
    <t>도발 허수아비</t>
  </si>
  <si>
    <t>진군의 깃발</t>
  </si>
  <si>
    <t>부식 폭탄</t>
  </si>
  <si>
    <t>수면 폭탄</t>
  </si>
  <si>
    <t>파괴 폭탄</t>
  </si>
  <si>
    <t>정비소 이동 포탈 주문서</t>
  </si>
  <si>
    <t>루테란의 나팔</t>
  </si>
  <si>
    <t>현자의 가루</t>
  </si>
  <si>
    <t>만능 물약</t>
    <phoneticPr fontId="1" type="noConversion"/>
  </si>
  <si>
    <t>보호 물약</t>
    <phoneticPr fontId="1" type="noConversion"/>
  </si>
  <si>
    <t>천둥 물약</t>
    <phoneticPr fontId="1" type="noConversion"/>
  </si>
  <si>
    <t>포브스 선정 지금 만들면 부자 되는 아이템 1위</t>
    <phoneticPr fontId="1" type="noConversion"/>
  </si>
  <si>
    <t>성스러운 폭탄</t>
    <phoneticPr fontId="1" type="noConversion"/>
  </si>
  <si>
    <t>철광석</t>
    <phoneticPr fontId="1" type="noConversion"/>
  </si>
  <si>
    <t>부식 폭탄</t>
    <phoneticPr fontId="1" type="noConversion"/>
  </si>
  <si>
    <t>수면 폭탄</t>
    <phoneticPr fontId="1" type="noConversion"/>
  </si>
  <si>
    <t>파괴 폭탄</t>
    <phoneticPr fontId="1" type="noConversion"/>
  </si>
  <si>
    <t>섬광 수류탄</t>
    <phoneticPr fontId="1" type="noConversion"/>
  </si>
  <si>
    <t>냉기 수류탄</t>
    <phoneticPr fontId="1" type="noConversion"/>
  </si>
  <si>
    <t>전기 수류탄</t>
    <phoneticPr fontId="1" type="noConversion"/>
  </si>
  <si>
    <t>점토 수류탄</t>
    <phoneticPr fontId="1" type="noConversion"/>
  </si>
  <si>
    <t>위장 로브</t>
    <phoneticPr fontId="1" type="noConversion"/>
  </si>
  <si>
    <t>은신 로브</t>
    <phoneticPr fontId="1" type="noConversion"/>
  </si>
  <si>
    <t>신속 로브</t>
    <phoneticPr fontId="1" type="noConversion"/>
  </si>
  <si>
    <t>도발 허수아비</t>
    <phoneticPr fontId="1" type="noConversion"/>
  </si>
  <si>
    <t>목재</t>
    <phoneticPr fontId="1" type="noConversion"/>
  </si>
  <si>
    <t>모닥불</t>
    <phoneticPr fontId="1" type="noConversion"/>
  </si>
  <si>
    <t>진군의 깃발</t>
    <phoneticPr fontId="1" type="noConversion"/>
  </si>
  <si>
    <t>루테란의 나팔</t>
    <phoneticPr fontId="1" type="noConversion"/>
  </si>
  <si>
    <t>정비소 이동 포탈 주문서</t>
    <phoneticPr fontId="1" type="noConversion"/>
  </si>
  <si>
    <t>빛나는 정령의 회복약(정가제작)</t>
    <phoneticPr fontId="1" type="noConversion"/>
  </si>
  <si>
    <t>빛나는 정령의 회복약(정가구매)</t>
    <phoneticPr fontId="1" type="noConversion"/>
  </si>
  <si>
    <t>정령의 회복약(구매)</t>
    <phoneticPr fontId="1" type="noConversion"/>
  </si>
  <si>
    <t>정령의 회복약(제작)</t>
    <phoneticPr fontId="1" type="noConversion"/>
  </si>
  <si>
    <t>빛나는 정령의 회복약(정가구매)</t>
  </si>
  <si>
    <r>
      <t xml:space="preserve">검색 가능한 아이템명 </t>
    </r>
    <r>
      <rPr>
        <b/>
        <sz val="15"/>
        <color rgb="FFFF0000"/>
        <rFont val="맑은 고딕"/>
        <family val="3"/>
        <charset val="129"/>
        <scheme val="minor"/>
      </rPr>
      <t>(클릭)</t>
    </r>
    <phoneticPr fontId="1" type="noConversion"/>
  </si>
  <si>
    <t>아이템 (입력or리스트에서 클릭)</t>
    <phoneticPr fontId="1" type="noConversion"/>
  </si>
  <si>
    <t>수량*대성공</t>
    <phoneticPr fontId="1" type="noConversion"/>
  </si>
  <si>
    <t>이득률</t>
    <phoneticPr fontId="1" type="noConversion"/>
  </si>
  <si>
    <t>활동력</t>
    <phoneticPr fontId="1" type="noConversion"/>
  </si>
  <si>
    <t>실링</t>
    <phoneticPr fontId="1" type="noConversion"/>
  </si>
  <si>
    <t>개수</t>
    <phoneticPr fontId="1" type="noConversion"/>
  </si>
  <si>
    <t>가격</t>
    <phoneticPr fontId="1" type="noConversion"/>
  </si>
  <si>
    <t>대성공확률</t>
    <phoneticPr fontId="1" type="noConversion"/>
  </si>
  <si>
    <t>제작비용감소율</t>
    <phoneticPr fontId="1" type="noConversion"/>
  </si>
  <si>
    <t>활동력감소율</t>
    <phoneticPr fontId="1" type="noConversion"/>
  </si>
  <si>
    <t>활동력*활동력감소율</t>
    <phoneticPr fontId="1" type="noConversion"/>
  </si>
  <si>
    <t>수익/활동력1만</t>
    <phoneticPr fontId="1" type="noConversion"/>
  </si>
  <si>
    <t>판매수수료</t>
    <phoneticPr fontId="1" type="noConversion"/>
  </si>
  <si>
    <t>상급 오레하 융화 재료</t>
  </si>
  <si>
    <t>상급 오레하 융화 재료(낚시)</t>
  </si>
  <si>
    <t>상급 오레하 융화 재료(수렵)</t>
  </si>
  <si>
    <t>상급 오레하 융화 재료(고고학)</t>
  </si>
  <si>
    <t>상급 오레하 융화 재료(수렵)</t>
    <phoneticPr fontId="1" type="noConversion"/>
  </si>
  <si>
    <t>상급 오레하 융화 재료(낚시)</t>
    <phoneticPr fontId="1" type="noConversion"/>
  </si>
  <si>
    <t>상급 오레하 융화 재료(고고학)</t>
    <phoneticPr fontId="1" type="noConversion"/>
  </si>
  <si>
    <t>배틀아이템</t>
  </si>
  <si>
    <t>배틀아이템</t>
    <phoneticPr fontId="1" type="noConversion"/>
  </si>
  <si>
    <t>요리</t>
    <phoneticPr fontId="1" type="noConversion"/>
  </si>
  <si>
    <t>특수</t>
    <phoneticPr fontId="1" type="noConversion"/>
  </si>
  <si>
    <t>분류</t>
    <phoneticPr fontId="1" type="noConversion"/>
  </si>
  <si>
    <t>생활도구</t>
    <phoneticPr fontId="1" type="noConversion"/>
  </si>
  <si>
    <t>최저가-1골판매기준</t>
    <phoneticPr fontId="1" type="noConversion"/>
  </si>
  <si>
    <t>순이익/활동력1만(최저가 -1골 판매기준)</t>
    <phoneticPr fontId="1" type="noConversion"/>
  </si>
  <si>
    <t>아래 본인 영지에 맞춰 입력하세요!!</t>
    <phoneticPr fontId="1" type="noConversion"/>
  </si>
  <si>
    <t>대성공확률은 기본 5%에 나머지는 곱연산. 
Ex) 특수 아이템 대성공확률 10%가 있을 경우 0.05*1.1=0.055=5.5%
제작비용감소율,활동력감소율은 제작공방에서 아무거나 클릭하면 재료부분에 필요 활동력, 제작 비용 뜨는곳에 (X% 감소) 라고 써있음</t>
    <phoneticPr fontId="1" type="noConversion"/>
  </si>
  <si>
    <t>최저가-1골판매기준
순이익/활동력1만</t>
    <phoneticPr fontId="1" type="noConversion"/>
  </si>
  <si>
    <t>주의 : 회복약,신호탄은 활동력이 1이라서 비상식적인 이득으로 나올 수 있습니다. 실제론 활동력 1만 못녹입니다.</t>
    <phoneticPr fontId="1" type="noConversion"/>
  </si>
  <si>
    <t>2위</t>
    <phoneticPr fontId="1" type="noConversion"/>
  </si>
  <si>
    <t>3위</t>
    <phoneticPr fontId="1" type="noConversion"/>
  </si>
  <si>
    <t>로그인방식</t>
    <phoneticPr fontId="1" type="noConversion"/>
  </si>
  <si>
    <t>아이디</t>
    <phoneticPr fontId="1" type="noConversion"/>
  </si>
  <si>
    <t>비밀번호</t>
    <phoneticPr fontId="1" type="noConversion"/>
  </si>
  <si>
    <t>Ver.3.1 / Made By 리퍼가신은신발은슬리퍼</t>
    <phoneticPr fontId="1" type="noConversion"/>
  </si>
  <si>
    <t>stove</t>
  </si>
  <si>
    <t>&lt;&lt; 클릭 후 화살표로 선택</t>
    <phoneticPr fontId="1" type="noConversion"/>
  </si>
  <si>
    <t>이 프로그램은 결코 아이디,패스워드가 유출되지 않습니다.
프로그램은 오픈소스입니다.
구글 로그인은 지원하지 않습니다.
계정이 구글밖에 없으신 분은 거래소 검색용 스토브 계정을
하나 만드시는걸 추천드립니다.</t>
    <phoneticPr fontId="1" type="noConversion"/>
  </si>
  <si>
    <t>이름</t>
    <phoneticPr fontId="1" type="noConversion"/>
  </si>
  <si>
    <t>[일품] 장인의 마늘 스테이크 정식</t>
    <phoneticPr fontId="1" type="noConversion"/>
  </si>
  <si>
    <t>[일품] 달인의 버터 스테이크 정식</t>
    <phoneticPr fontId="1" type="noConversion"/>
  </si>
  <si>
    <t>[일품] 명인의 허브 스테이크 정식</t>
    <phoneticPr fontId="1" type="noConversion"/>
  </si>
  <si>
    <t>스마게에서 로아 홈페이지 거래소에서 제공하던 네트워크 토큰을 더 이상 제공하지 않습니다.
이 때문에 엑셀만으로는 데이터 갱신이 불가능해졌습니다.
그래서 파이썬으로 코딩한 프로그램으로 최저가를 받아옵니다.</t>
    <phoneticPr fontId="1" type="noConversion"/>
  </si>
  <si>
    <t xml:space="preserve">
주의) 이 파일이 base.xlsm 파일이라면 우측에 계정정보, 확률 입력부분을 제외하고는 수정하거나 삭제하지 마세요.</t>
    <phoneticPr fontId="1" type="noConversion"/>
  </si>
  <si>
    <t xml:space="preserve">
!!! 반드시 폴더 내의 Readme.txt 파일을 먼저 읽어주세요
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</si>
</sst>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_ "/>
    <numFmt numFmtId="177" formatCode="&quot;제작수수료 감소 수치를 입력하세요 : &quot;0&quot;%&quot;"/>
    <numFmt numFmtId="178" formatCode="&quot;대성공 확률을 입력하세요 : &quot;0.00&quot;%&quot;"/>
    <numFmt numFmtId="179" formatCode="0.00&quot;%&quot;"/>
  </numFmts>
  <fonts count="2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B050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70C0"/>
      <name val="맑은 고딕"/>
      <family val="3"/>
      <charset val="129"/>
      <scheme val="minor"/>
    </font>
    <font>
      <sz val="15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rgb="FF0000FF"/>
      <name val="맑은 고딕"/>
      <family val="2"/>
      <charset val="129"/>
      <scheme val="minor"/>
    </font>
    <font>
      <sz val="11"/>
      <color rgb="FF0000FF"/>
      <name val="맑은 고딕"/>
      <family val="3"/>
      <charset val="129"/>
      <scheme val="minor"/>
    </font>
    <font>
      <sz val="11"/>
      <color rgb="FF663300"/>
      <name val="맑은 고딕"/>
      <family val="2"/>
      <charset val="129"/>
      <scheme val="minor"/>
    </font>
    <font>
      <sz val="11"/>
      <color rgb="FF66330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5"/>
      <color rgb="FFFF0000"/>
      <name val="맑은 고딕"/>
      <family val="3"/>
      <charset val="129"/>
      <scheme val="minor"/>
    </font>
    <font>
      <sz val="15"/>
      <color rgb="FFFF0000"/>
      <name val="맑은 고딕"/>
      <family val="3"/>
      <charset val="129"/>
      <scheme val="minor"/>
    </font>
    <font>
      <sz val="11"/>
      <color theme="0" tint="-0.249977111117893"/>
      <name val="맑은 고딕"/>
      <family val="2"/>
      <charset val="129"/>
      <scheme val="minor"/>
    </font>
    <font>
      <sz val="11"/>
      <color theme="0" tint="-0.249977111117893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1"/>
      <color rgb="FF002060"/>
      <name val="맑은 고딕"/>
      <family val="3"/>
      <charset val="129"/>
      <scheme val="minor"/>
    </font>
    <font>
      <sz val="11"/>
      <color theme="4" tint="-0.249977111117893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0" tint="-0.249977111117893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20"/>
      <color rgb="FFFF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rgb="FF000000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25" fillId="0" borderId="0" applyNumberFormat="0" applyFill="0" applyBorder="0" applyAlignment="0" applyProtection="0">
      <alignment vertical="center"/>
    </xf>
  </cellStyleXfs>
  <cellXfs count="19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0" borderId="0" xfId="0" applyNumberFormat="1" applyFont="1" applyAlignment="1">
      <alignment horizontal="center" vertical="center"/>
    </xf>
    <xf numFmtId="0" fontId="4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6" fillId="0" borderId="0" xfId="0" applyNumberFormat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0" xfId="0" applyNumberFormat="1">
      <alignment vertical="center"/>
    </xf>
    <xf numFmtId="0" fontId="11" fillId="0" borderId="0" xfId="0" applyNumberFormat="1" applyFont="1" applyAlignment="1">
      <alignment horizontal="center" vertical="center"/>
    </xf>
    <xf numFmtId="0" fontId="12" fillId="0" borderId="0" xfId="0" applyNumberFormat="1" applyFont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 applyProtection="1">
      <alignment horizontal="center" vertical="center"/>
    </xf>
    <xf numFmtId="0" fontId="0" fillId="2" borderId="0" xfId="0" applyFill="1" applyAlignment="1" applyProtection="1">
      <alignment horizontal="center" vertical="center"/>
    </xf>
    <xf numFmtId="0" fontId="0" fillId="2" borderId="0" xfId="0" applyFill="1" applyBorder="1" applyAlignment="1" applyProtection="1">
      <alignment horizontal="center" vertical="center" wrapText="1"/>
    </xf>
    <xf numFmtId="0" fontId="7" fillId="2" borderId="5" xfId="0" applyFont="1" applyFill="1" applyBorder="1" applyAlignment="1" applyProtection="1">
      <alignment horizontal="center" vertical="center"/>
    </xf>
    <xf numFmtId="0" fontId="9" fillId="2" borderId="0" xfId="0" applyFont="1" applyFill="1" applyBorder="1" applyAlignment="1" applyProtection="1">
      <alignment horizontal="center" vertical="center"/>
    </xf>
    <xf numFmtId="0" fontId="10" fillId="2" borderId="0" xfId="0" applyFont="1" applyFill="1" applyBorder="1" applyAlignment="1" applyProtection="1">
      <alignment horizontal="center" vertical="center"/>
    </xf>
    <xf numFmtId="0" fontId="0" fillId="2" borderId="0" xfId="0" applyFill="1" applyBorder="1" applyAlignment="1" applyProtection="1">
      <alignment vertical="center"/>
    </xf>
    <xf numFmtId="0" fontId="0" fillId="2" borderId="0" xfId="0" applyFill="1" applyBorder="1" applyAlignment="1" applyProtection="1">
      <alignment horizontal="center" vertical="center"/>
    </xf>
    <xf numFmtId="0" fontId="0" fillId="2" borderId="8" xfId="0" applyFill="1" applyBorder="1" applyAlignment="1" applyProtection="1">
      <alignment horizontal="center" vertical="center"/>
    </xf>
    <xf numFmtId="0" fontId="16" fillId="2" borderId="0" xfId="0" applyFont="1" applyFill="1" applyBorder="1" applyAlignment="1" applyProtection="1">
      <alignment vertical="center"/>
    </xf>
    <xf numFmtId="0" fontId="17" fillId="2" borderId="0" xfId="0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76" fontId="0" fillId="0" borderId="3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76" fontId="16" fillId="2" borderId="0" xfId="0" applyNumberFormat="1" applyFont="1" applyFill="1" applyAlignment="1" applyProtection="1">
      <alignment horizontal="center" vertical="center"/>
    </xf>
    <xf numFmtId="0" fontId="0" fillId="0" borderId="19" xfId="0" applyBorder="1" applyAlignment="1">
      <alignment horizontal="center" vertical="center"/>
    </xf>
    <xf numFmtId="0" fontId="5" fillId="2" borderId="19" xfId="0" applyFont="1" applyFill="1" applyBorder="1" applyAlignment="1" applyProtection="1">
      <alignment horizontal="center" vertical="center"/>
    </xf>
    <xf numFmtId="0" fontId="18" fillId="2" borderId="5" xfId="0" applyFont="1" applyFill="1" applyBorder="1" applyAlignment="1" applyProtection="1">
      <alignment horizontal="center" vertical="center"/>
      <protection locked="0"/>
    </xf>
    <xf numFmtId="0" fontId="6" fillId="3" borderId="18" xfId="0" applyFont="1" applyFill="1" applyBorder="1" applyAlignment="1" applyProtection="1">
      <alignment horizontal="center" vertical="center"/>
      <protection locked="0"/>
    </xf>
    <xf numFmtId="0" fontId="6" fillId="2" borderId="6" xfId="0" applyFont="1" applyFill="1" applyBorder="1" applyAlignment="1" applyProtection="1">
      <alignment horizontal="center" vertical="center"/>
      <protection locked="0"/>
    </xf>
    <xf numFmtId="0" fontId="6" fillId="2" borderId="19" xfId="0" applyFont="1" applyFill="1" applyBorder="1" applyAlignment="1" applyProtection="1">
      <alignment horizontal="center" vertical="center"/>
      <protection locked="0"/>
    </xf>
    <xf numFmtId="177" fontId="6" fillId="2" borderId="0" xfId="0" applyNumberFormat="1" applyFont="1" applyFill="1" applyBorder="1" applyAlignment="1" applyProtection="1">
      <alignment horizontal="center" vertical="center"/>
      <protection locked="0"/>
    </xf>
    <xf numFmtId="0" fontId="19" fillId="2" borderId="8" xfId="0" applyFont="1" applyFill="1" applyBorder="1" applyAlignment="1" applyProtection="1">
      <alignment horizontal="center" vertical="center"/>
    </xf>
    <xf numFmtId="0" fontId="20" fillId="2" borderId="18" xfId="0" applyFont="1" applyFill="1" applyBorder="1" applyAlignment="1" applyProtection="1">
      <alignment horizontal="center" vertical="center"/>
    </xf>
    <xf numFmtId="0" fontId="21" fillId="2" borderId="11" xfId="0" applyNumberFormat="1" applyFont="1" applyFill="1" applyBorder="1" applyAlignment="1" applyProtection="1">
      <alignment horizontal="center" vertical="center"/>
    </xf>
    <xf numFmtId="0" fontId="8" fillId="2" borderId="6" xfId="0" applyFont="1" applyFill="1" applyBorder="1" applyAlignment="1" applyProtection="1">
      <alignment horizontal="center" vertical="center"/>
    </xf>
    <xf numFmtId="0" fontId="0" fillId="2" borderId="0" xfId="0" applyFill="1" applyBorder="1" applyAlignment="1" applyProtection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2" borderId="0" xfId="0" applyFill="1" applyBorder="1" applyAlignment="1" applyProtection="1">
      <alignment horizontal="center" vertical="center"/>
    </xf>
    <xf numFmtId="0" fontId="0" fillId="2" borderId="35" xfId="0" applyFill="1" applyBorder="1" applyAlignment="1" applyProtection="1">
      <alignment horizontal="center" vertical="center"/>
    </xf>
    <xf numFmtId="0" fontId="17" fillId="2" borderId="0" xfId="0" applyFont="1" applyFill="1" applyBorder="1" applyAlignment="1" applyProtection="1">
      <alignment horizontal="center" vertical="center"/>
    </xf>
    <xf numFmtId="0" fontId="0" fillId="2" borderId="34" xfId="0" applyFill="1" applyBorder="1" applyAlignment="1" applyProtection="1">
      <alignment horizontal="center" vertical="center"/>
    </xf>
    <xf numFmtId="0" fontId="0" fillId="2" borderId="33" xfId="0" applyFill="1" applyBorder="1" applyAlignment="1" applyProtection="1">
      <alignment horizontal="center" vertical="center"/>
    </xf>
    <xf numFmtId="177" fontId="6" fillId="2" borderId="24" xfId="0" applyNumberFormat="1" applyFont="1" applyFill="1" applyBorder="1" applyAlignment="1" applyProtection="1">
      <alignment horizontal="center" vertical="center"/>
      <protection locked="0"/>
    </xf>
    <xf numFmtId="178" fontId="6" fillId="2" borderId="28" xfId="0" applyNumberFormat="1" applyFont="1" applyFill="1" applyBorder="1" applyAlignment="1" applyProtection="1">
      <alignment horizontal="center" vertical="center"/>
    </xf>
    <xf numFmtId="0" fontId="6" fillId="2" borderId="29" xfId="0" applyFont="1" applyFill="1" applyBorder="1" applyAlignment="1" applyProtection="1">
      <alignment horizontal="center" vertical="center"/>
    </xf>
    <xf numFmtId="0" fontId="0" fillId="0" borderId="7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30" xfId="0" applyBorder="1" applyAlignment="1">
      <alignment vertical="center"/>
    </xf>
    <xf numFmtId="0" fontId="0" fillId="0" borderId="31" xfId="0" applyBorder="1" applyAlignment="1">
      <alignment vertical="center"/>
    </xf>
    <xf numFmtId="0" fontId="0" fillId="0" borderId="37" xfId="0" applyBorder="1" applyAlignment="1">
      <alignment vertical="center"/>
    </xf>
    <xf numFmtId="0" fontId="0" fillId="0" borderId="32" xfId="0" applyBorder="1" applyAlignment="1">
      <alignment vertical="center"/>
    </xf>
    <xf numFmtId="0" fontId="19" fillId="2" borderId="1" xfId="0" applyFont="1" applyFill="1" applyBorder="1" applyAlignment="1" applyProtection="1">
      <alignment horizontal="center" vertical="center"/>
    </xf>
    <xf numFmtId="0" fontId="20" fillId="2" borderId="19" xfId="0" applyFont="1" applyFill="1" applyBorder="1" applyAlignment="1" applyProtection="1">
      <alignment horizontal="center" vertical="center"/>
    </xf>
    <xf numFmtId="177" fontId="13" fillId="2" borderId="7" xfId="0" applyNumberFormat="1" applyFont="1" applyFill="1" applyBorder="1" applyAlignment="1" applyProtection="1">
      <alignment horizontal="center" vertical="center" wrapText="1"/>
      <protection locked="0"/>
    </xf>
    <xf numFmtId="0" fontId="24" fillId="2" borderId="0" xfId="0" applyNumberFormat="1" applyFont="1" applyFill="1" applyBorder="1" applyAlignment="1" applyProtection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2" borderId="5" xfId="0" applyFill="1" applyBorder="1" applyAlignment="1" applyProtection="1">
      <alignment horizontal="center" vertical="center"/>
    </xf>
    <xf numFmtId="0" fontId="0" fillId="0" borderId="6" xfId="0" applyFill="1" applyBorder="1" applyAlignment="1" applyProtection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0" fillId="2" borderId="0" xfId="0" applyFill="1" applyBorder="1" applyAlignment="1" applyProtection="1">
      <alignment vertical="center" wrapText="1"/>
    </xf>
    <xf numFmtId="0" fontId="0" fillId="2" borderId="46" xfId="0" applyFill="1" applyBorder="1" applyAlignment="1" applyProtection="1">
      <alignment vertical="center" wrapText="1"/>
    </xf>
    <xf numFmtId="0" fontId="0" fillId="2" borderId="47" xfId="0" applyFill="1" applyBorder="1" applyAlignment="1" applyProtection="1">
      <alignment vertical="center" wrapText="1"/>
    </xf>
    <xf numFmtId="179" fontId="27" fillId="4" borderId="36" xfId="0" applyNumberFormat="1" applyFont="1" applyFill="1" applyBorder="1" applyAlignment="1" applyProtection="1">
      <alignment horizontal="center" vertical="center"/>
      <protection locked="0"/>
    </xf>
    <xf numFmtId="179" fontId="27" fillId="4" borderId="42" xfId="0" applyNumberFormat="1" applyFont="1" applyFill="1" applyBorder="1" applyAlignment="1" applyProtection="1">
      <alignment horizontal="center" vertical="center"/>
      <protection locked="0"/>
    </xf>
    <xf numFmtId="179" fontId="27" fillId="4" borderId="36" xfId="0" applyNumberFormat="1" applyFont="1" applyFill="1" applyBorder="1" applyAlignment="1">
      <alignment horizontal="center" vertical="center"/>
    </xf>
    <xf numFmtId="179" fontId="27" fillId="4" borderId="42" xfId="0" applyNumberFormat="1" applyFont="1" applyFill="1" applyBorder="1" applyAlignment="1">
      <alignment horizontal="center" vertical="center"/>
    </xf>
    <xf numFmtId="179" fontId="27" fillId="4" borderId="48" xfId="0" applyNumberFormat="1" applyFont="1" applyFill="1" applyBorder="1" applyAlignment="1">
      <alignment horizontal="center" vertical="center"/>
    </xf>
    <xf numFmtId="179" fontId="27" fillId="4" borderId="49" xfId="0" applyNumberFormat="1" applyFont="1" applyFill="1" applyBorder="1" applyAlignment="1">
      <alignment horizontal="center" vertical="center"/>
    </xf>
    <xf numFmtId="0" fontId="0" fillId="2" borderId="43" xfId="0" applyFill="1" applyBorder="1" applyAlignment="1" applyProtection="1">
      <alignment horizontal="center" vertical="center" wrapText="1"/>
    </xf>
    <xf numFmtId="0" fontId="0" fillId="2" borderId="44" xfId="0" applyFill="1" applyBorder="1" applyAlignment="1" applyProtection="1">
      <alignment horizontal="center" vertical="center" wrapText="1"/>
    </xf>
    <xf numFmtId="0" fontId="0" fillId="2" borderId="45" xfId="0" applyFill="1" applyBorder="1" applyAlignment="1" applyProtection="1">
      <alignment horizontal="center" vertical="center" wrapText="1"/>
    </xf>
    <xf numFmtId="0" fontId="0" fillId="2" borderId="46" xfId="0" applyFill="1" applyBorder="1" applyAlignment="1" applyProtection="1">
      <alignment horizontal="center" vertical="center" wrapText="1"/>
    </xf>
    <xf numFmtId="0" fontId="0" fillId="2" borderId="0" xfId="0" applyFill="1" applyBorder="1" applyAlignment="1" applyProtection="1">
      <alignment horizontal="center" vertical="center" wrapText="1"/>
    </xf>
    <xf numFmtId="0" fontId="0" fillId="2" borderId="47" xfId="0" applyFill="1" applyBorder="1" applyAlignment="1" applyProtection="1">
      <alignment horizontal="center" vertical="center" wrapText="1"/>
    </xf>
    <xf numFmtId="0" fontId="26" fillId="2" borderId="46" xfId="0" applyFont="1" applyFill="1" applyBorder="1" applyAlignment="1" applyProtection="1">
      <alignment horizontal="center" vertical="center" wrapText="1"/>
    </xf>
    <xf numFmtId="0" fontId="26" fillId="2" borderId="0" xfId="0" applyFont="1" applyFill="1" applyBorder="1" applyAlignment="1" applyProtection="1">
      <alignment horizontal="center" vertical="center" wrapText="1"/>
    </xf>
    <xf numFmtId="0" fontId="26" fillId="2" borderId="47" xfId="0" applyFont="1" applyFill="1" applyBorder="1" applyAlignment="1" applyProtection="1">
      <alignment horizontal="center" vertical="center" wrapText="1"/>
    </xf>
    <xf numFmtId="0" fontId="0" fillId="2" borderId="8" xfId="0" applyFill="1" applyBorder="1" applyAlignment="1" applyProtection="1">
      <alignment horizontal="center" vertical="center" wrapText="1"/>
    </xf>
    <xf numFmtId="0" fontId="0" fillId="2" borderId="1" xfId="0" applyFill="1" applyBorder="1" applyAlignment="1" applyProtection="1">
      <alignment horizontal="center" vertical="center" wrapText="1"/>
    </xf>
    <xf numFmtId="0" fontId="0" fillId="2" borderId="9" xfId="0" applyFill="1" applyBorder="1" applyAlignment="1" applyProtection="1">
      <alignment horizontal="center" vertical="center" wrapText="1"/>
    </xf>
    <xf numFmtId="0" fontId="0" fillId="2" borderId="18" xfId="0" applyFill="1" applyBorder="1" applyAlignment="1" applyProtection="1">
      <alignment horizontal="center" vertical="center" wrapText="1"/>
    </xf>
    <xf numFmtId="0" fontId="0" fillId="2" borderId="19" xfId="0" applyFill="1" applyBorder="1" applyAlignment="1" applyProtection="1">
      <alignment horizontal="center" vertical="center" wrapText="1"/>
    </xf>
    <xf numFmtId="0" fontId="0" fillId="2" borderId="11" xfId="0" applyFill="1" applyBorder="1" applyAlignment="1" applyProtection="1">
      <alignment horizontal="center" vertical="center" wrapText="1"/>
    </xf>
    <xf numFmtId="0" fontId="0" fillId="2" borderId="6" xfId="0" applyFill="1" applyBorder="1" applyAlignment="1" applyProtection="1">
      <alignment horizontal="center" vertical="center"/>
    </xf>
    <xf numFmtId="0" fontId="0" fillId="2" borderId="7" xfId="0" applyFill="1" applyBorder="1" applyAlignment="1" applyProtection="1">
      <alignment horizontal="center" vertical="center"/>
    </xf>
    <xf numFmtId="49" fontId="25" fillId="0" borderId="1" xfId="1" applyNumberFormat="1" applyFill="1" applyBorder="1" applyAlignment="1">
      <alignment horizontal="center" vertical="center"/>
    </xf>
    <xf numFmtId="49" fontId="0" fillId="0" borderId="1" xfId="0" applyNumberFormat="1" applyFill="1" applyBorder="1" applyAlignment="1">
      <alignment horizontal="center" vertical="center"/>
    </xf>
    <xf numFmtId="49" fontId="0" fillId="0" borderId="9" xfId="0" applyNumberFormat="1" applyFill="1" applyBorder="1" applyAlignment="1">
      <alignment horizontal="center" vertical="center"/>
    </xf>
    <xf numFmtId="49" fontId="0" fillId="0" borderId="1" xfId="0" applyNumberFormat="1" applyFill="1" applyBorder="1" applyAlignment="1" applyProtection="1">
      <alignment horizontal="center" vertical="center"/>
    </xf>
    <xf numFmtId="49" fontId="0" fillId="0" borderId="9" xfId="0" applyNumberFormat="1" applyFill="1" applyBorder="1" applyAlignment="1" applyProtection="1">
      <alignment horizontal="center" vertical="center"/>
    </xf>
    <xf numFmtId="178" fontId="14" fillId="2" borderId="0" xfId="0" applyNumberFormat="1" applyFont="1" applyFill="1" applyBorder="1" applyAlignment="1" applyProtection="1">
      <alignment horizontal="center" vertical="center"/>
    </xf>
    <xf numFmtId="0" fontId="23" fillId="2" borderId="0" xfId="0" applyFont="1" applyFill="1" applyAlignment="1" applyProtection="1">
      <alignment horizontal="center" vertical="center" wrapText="1"/>
    </xf>
    <xf numFmtId="0" fontId="22" fillId="2" borderId="0" xfId="0" applyFont="1" applyFill="1" applyAlignment="1" applyProtection="1">
      <alignment horizontal="center" vertical="center"/>
    </xf>
    <xf numFmtId="0" fontId="0" fillId="2" borderId="1" xfId="0" applyFill="1" applyBorder="1" applyAlignment="1" applyProtection="1">
      <alignment horizontal="center" vertical="center"/>
    </xf>
    <xf numFmtId="0" fontId="0" fillId="2" borderId="9" xfId="0" applyFill="1" applyBorder="1" applyAlignment="1" applyProtection="1">
      <alignment horizontal="center" vertical="center"/>
    </xf>
    <xf numFmtId="0" fontId="0" fillId="2" borderId="19" xfId="0" applyFill="1" applyBorder="1" applyAlignment="1" applyProtection="1">
      <alignment horizontal="center" vertical="center"/>
    </xf>
    <xf numFmtId="0" fontId="0" fillId="2" borderId="11" xfId="0" applyFill="1" applyBorder="1" applyAlignment="1" applyProtection="1">
      <alignment horizontal="center" vertical="center"/>
    </xf>
    <xf numFmtId="0" fontId="0" fillId="2" borderId="38" xfId="0" applyFill="1" applyBorder="1" applyAlignment="1" applyProtection="1">
      <alignment horizontal="center" vertical="center"/>
    </xf>
    <xf numFmtId="0" fontId="0" fillId="2" borderId="31" xfId="0" applyFill="1" applyBorder="1" applyAlignment="1" applyProtection="1">
      <alignment horizontal="center" vertical="center"/>
    </xf>
    <xf numFmtId="0" fontId="8" fillId="2" borderId="20" xfId="0" applyFont="1" applyFill="1" applyBorder="1" applyAlignment="1" applyProtection="1">
      <alignment horizontal="center" vertical="center"/>
    </xf>
    <xf numFmtId="0" fontId="8" fillId="2" borderId="1" xfId="0" applyFont="1" applyFill="1" applyBorder="1" applyAlignment="1" applyProtection="1">
      <alignment horizontal="center" vertical="center"/>
    </xf>
    <xf numFmtId="0" fontId="8" fillId="2" borderId="9" xfId="0" applyFont="1" applyFill="1" applyBorder="1" applyAlignment="1" applyProtection="1">
      <alignment horizontal="center" vertical="center"/>
    </xf>
    <xf numFmtId="0" fontId="8" fillId="2" borderId="21" xfId="0" applyFont="1" applyFill="1" applyBorder="1" applyAlignment="1" applyProtection="1">
      <alignment horizontal="center" vertical="center"/>
    </xf>
    <xf numFmtId="0" fontId="8" fillId="2" borderId="19" xfId="0" applyFont="1" applyFill="1" applyBorder="1" applyAlignment="1" applyProtection="1">
      <alignment horizontal="center" vertical="center"/>
    </xf>
    <xf numFmtId="0" fontId="8" fillId="2" borderId="11" xfId="0" applyFont="1" applyFill="1" applyBorder="1" applyAlignment="1" applyProtection="1">
      <alignment horizontal="center" vertical="center"/>
    </xf>
    <xf numFmtId="0" fontId="15" fillId="2" borderId="5" xfId="0" applyFont="1" applyFill="1" applyBorder="1" applyAlignment="1" applyProtection="1">
      <alignment horizontal="center" vertical="center"/>
    </xf>
    <xf numFmtId="0" fontId="15" fillId="2" borderId="6" xfId="0" applyFont="1" applyFill="1" applyBorder="1" applyAlignment="1" applyProtection="1">
      <alignment horizontal="center" vertical="center"/>
    </xf>
    <xf numFmtId="0" fontId="15" fillId="2" borderId="7" xfId="0" applyFont="1" applyFill="1" applyBorder="1" applyAlignment="1" applyProtection="1">
      <alignment horizontal="center" vertical="center"/>
    </xf>
    <xf numFmtId="0" fontId="13" fillId="2" borderId="0" xfId="0" applyFont="1" applyFill="1" applyBorder="1" applyAlignment="1" applyProtection="1">
      <alignment horizontal="center" vertical="center"/>
    </xf>
    <xf numFmtId="0" fontId="0" fillId="2" borderId="5" xfId="0" applyFill="1" applyBorder="1" applyAlignment="1" applyProtection="1">
      <alignment horizontal="center" vertical="center"/>
    </xf>
    <xf numFmtId="0" fontId="0" fillId="2" borderId="20" xfId="0" applyFill="1" applyBorder="1" applyAlignment="1" applyProtection="1">
      <alignment horizontal="center" vertical="center"/>
    </xf>
    <xf numFmtId="0" fontId="0" fillId="2" borderId="39" xfId="0" applyFill="1" applyBorder="1" applyAlignment="1" applyProtection="1">
      <alignment horizontal="right" vertical="center" wrapText="1"/>
    </xf>
    <xf numFmtId="0" fontId="0" fillId="2" borderId="14" xfId="0" applyFill="1" applyBorder="1" applyAlignment="1" applyProtection="1">
      <alignment horizontal="right" vertical="center" wrapText="1"/>
    </xf>
    <xf numFmtId="0" fontId="0" fillId="2" borderId="40" xfId="0" applyFill="1" applyBorder="1" applyAlignment="1" applyProtection="1">
      <alignment horizontal="right" vertical="center" wrapText="1"/>
    </xf>
    <xf numFmtId="0" fontId="8" fillId="2" borderId="36" xfId="0" applyFont="1" applyFill="1" applyBorder="1" applyAlignment="1" applyProtection="1">
      <alignment horizontal="center" vertical="center"/>
    </xf>
    <xf numFmtId="0" fontId="8" fillId="2" borderId="26" xfId="0" applyFont="1" applyFill="1" applyBorder="1" applyAlignment="1" applyProtection="1">
      <alignment horizontal="center" vertical="center"/>
    </xf>
    <xf numFmtId="0" fontId="8" fillId="2" borderId="27" xfId="0" applyFont="1" applyFill="1" applyBorder="1" applyAlignment="1" applyProtection="1">
      <alignment horizontal="center" vertical="center"/>
    </xf>
    <xf numFmtId="0" fontId="0" fillId="2" borderId="0" xfId="0" applyFill="1" applyBorder="1" applyAlignment="1" applyProtection="1">
      <alignment horizontal="center" vertical="center"/>
    </xf>
    <xf numFmtId="0" fontId="0" fillId="2" borderId="41" xfId="0" applyFill="1" applyBorder="1" applyAlignment="1" applyProtection="1">
      <alignment horizontal="center" vertical="center"/>
    </xf>
    <xf numFmtId="0" fontId="0" fillId="2" borderId="21" xfId="0" applyFill="1" applyBorder="1" applyAlignment="1" applyProtection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22" xfId="0" applyBorder="1" applyAlignment="1"/>
    <xf numFmtId="0" fontId="0" fillId="0" borderId="25" xfId="0" applyBorder="1" applyAlignment="1"/>
    <xf numFmtId="0" fontId="3" fillId="0" borderId="6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6" fontId="0" fillId="0" borderId="6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176" fontId="0" fillId="0" borderId="12" xfId="0" applyNumberForma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176" fontId="0" fillId="0" borderId="26" xfId="0" applyNumberFormat="1" applyBorder="1" applyAlignment="1">
      <alignment horizontal="center" vertical="center"/>
    </xf>
    <xf numFmtId="176" fontId="0" fillId="0" borderId="19" xfId="0" applyNumberForma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176" fontId="0" fillId="0" borderId="3" xfId="0" applyNumberFormat="1" applyBorder="1" applyAlignment="1">
      <alignment horizontal="center" vertical="center"/>
    </xf>
    <xf numFmtId="176" fontId="0" fillId="0" borderId="13" xfId="0" applyNumberFormat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17"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1BA808"/>
      </font>
    </dxf>
    <dxf>
      <font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0000FF"/>
      <color rgb="FF1BA808"/>
      <color rgb="FF663300"/>
      <color rgb="FFA41EB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AD501E-4937-450F-9527-81879B2C0B8B}">
  <sheetPr codeName="Sheet1"/>
  <dimension ref="A1:M83"/>
  <sheetViews>
    <sheetView showGridLines="0" tabSelected="1" workbookViewId="0">
      <selection activeCell="H30" sqref="H30"/>
    </sheetView>
  </sheetViews>
  <sheetFormatPr defaultColWidth="0" defaultRowHeight="16.5" zeroHeight="1"/>
  <cols>
    <col min="1" max="1" width="1.625" style="19" customWidth="1"/>
    <col min="2" max="2" width="46.875" style="19" bestFit="1" customWidth="1"/>
    <col min="3" max="3" width="30.375" style="19" bestFit="1" customWidth="1"/>
    <col min="4" max="5" width="14" style="19" customWidth="1"/>
    <col min="6" max="6" width="19.25" style="19" customWidth="1"/>
    <col min="7" max="7" width="2.625" style="19" customWidth="1"/>
    <col min="8" max="8" width="14.5" style="19" customWidth="1"/>
    <col min="9" max="9" width="11" style="19" bestFit="1" customWidth="1"/>
    <col min="10" max="10" width="8.75" style="19" customWidth="1"/>
    <col min="11" max="12" width="9.25" style="19" customWidth="1"/>
    <col min="13" max="13" width="9" style="20" customWidth="1"/>
    <col min="14" max="16384" width="9" style="19" hidden="1"/>
  </cols>
  <sheetData>
    <row r="1" spans="1:12" ht="17.25" thickBot="1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</row>
    <row r="2" spans="1:12" ht="16.5" customHeight="1">
      <c r="A2" s="20"/>
      <c r="B2" s="98" t="s">
        <v>149</v>
      </c>
      <c r="C2" s="99"/>
      <c r="D2" s="99"/>
      <c r="E2" s="99"/>
      <c r="F2" s="100"/>
      <c r="G2" s="20"/>
      <c r="H2" s="20"/>
      <c r="I2" s="20"/>
      <c r="J2" s="20"/>
      <c r="K2" s="20"/>
      <c r="L2" s="20"/>
    </row>
    <row r="3" spans="1:12">
      <c r="A3" s="20"/>
      <c r="B3" s="101"/>
      <c r="C3" s="102"/>
      <c r="D3" s="102"/>
      <c r="E3" s="102"/>
      <c r="F3" s="103"/>
      <c r="G3" s="20"/>
      <c r="H3" s="20"/>
      <c r="I3" s="20"/>
      <c r="J3" s="20"/>
      <c r="K3" s="20"/>
      <c r="L3" s="20"/>
    </row>
    <row r="4" spans="1:12" ht="17.25" thickBot="1">
      <c r="A4" s="20"/>
      <c r="B4" s="101"/>
      <c r="C4" s="102"/>
      <c r="D4" s="102"/>
      <c r="E4" s="102"/>
      <c r="F4" s="103"/>
      <c r="G4" s="20"/>
      <c r="H4" s="20"/>
      <c r="I4" s="20"/>
      <c r="J4" s="20"/>
      <c r="K4" s="20"/>
      <c r="L4" s="20"/>
    </row>
    <row r="5" spans="1:12">
      <c r="A5" s="20"/>
      <c r="B5" s="101"/>
      <c r="C5" s="102"/>
      <c r="D5" s="102"/>
      <c r="E5" s="102"/>
      <c r="F5" s="103"/>
      <c r="G5" s="20"/>
      <c r="H5" s="85" t="s">
        <v>138</v>
      </c>
      <c r="I5" s="86" t="s">
        <v>142</v>
      </c>
      <c r="J5" s="113" t="s">
        <v>143</v>
      </c>
      <c r="K5" s="113"/>
      <c r="L5" s="114"/>
    </row>
    <row r="6" spans="1:12">
      <c r="A6" s="20"/>
      <c r="B6" s="101"/>
      <c r="C6" s="102"/>
      <c r="D6" s="102"/>
      <c r="E6" s="102"/>
      <c r="F6" s="103"/>
      <c r="G6" s="20"/>
      <c r="H6" s="27" t="s">
        <v>139</v>
      </c>
      <c r="I6" s="115"/>
      <c r="J6" s="116"/>
      <c r="K6" s="116"/>
      <c r="L6" s="117"/>
    </row>
    <row r="7" spans="1:12">
      <c r="A7" s="20"/>
      <c r="B7" s="104" t="s">
        <v>151</v>
      </c>
      <c r="C7" s="105"/>
      <c r="D7" s="105"/>
      <c r="E7" s="105"/>
      <c r="F7" s="106"/>
      <c r="G7" s="20"/>
      <c r="H7" s="27" t="s">
        <v>140</v>
      </c>
      <c r="I7" s="118"/>
      <c r="J7" s="118"/>
      <c r="K7" s="118"/>
      <c r="L7" s="119"/>
    </row>
    <row r="8" spans="1:12">
      <c r="A8" s="20"/>
      <c r="B8" s="104"/>
      <c r="C8" s="105"/>
      <c r="D8" s="105"/>
      <c r="E8" s="105"/>
      <c r="F8" s="106"/>
      <c r="G8" s="20"/>
      <c r="H8" s="107" t="s">
        <v>144</v>
      </c>
      <c r="I8" s="108"/>
      <c r="J8" s="108"/>
      <c r="K8" s="108"/>
      <c r="L8" s="109"/>
    </row>
    <row r="9" spans="1:12" ht="16.5" customHeight="1">
      <c r="A9" s="20"/>
      <c r="B9" s="104"/>
      <c r="C9" s="105"/>
      <c r="D9" s="105"/>
      <c r="E9" s="105"/>
      <c r="F9" s="106"/>
      <c r="G9" s="20"/>
      <c r="H9" s="107"/>
      <c r="I9" s="108"/>
      <c r="J9" s="108"/>
      <c r="K9" s="108"/>
      <c r="L9" s="109"/>
    </row>
    <row r="10" spans="1:12">
      <c r="A10" s="20"/>
      <c r="B10" s="104"/>
      <c r="C10" s="105"/>
      <c r="D10" s="105"/>
      <c r="E10" s="105"/>
      <c r="F10" s="106"/>
      <c r="G10" s="20"/>
      <c r="H10" s="107"/>
      <c r="I10" s="108"/>
      <c r="J10" s="108"/>
      <c r="K10" s="108"/>
      <c r="L10" s="109"/>
    </row>
    <row r="11" spans="1:12">
      <c r="A11" s="20"/>
      <c r="B11" s="101" t="s">
        <v>150</v>
      </c>
      <c r="C11" s="102"/>
      <c r="D11" s="102"/>
      <c r="E11" s="102"/>
      <c r="F11" s="103"/>
      <c r="G11" s="20"/>
      <c r="H11" s="107"/>
      <c r="I11" s="108"/>
      <c r="J11" s="108"/>
      <c r="K11" s="108"/>
      <c r="L11" s="109"/>
    </row>
    <row r="12" spans="1:12">
      <c r="A12" s="20"/>
      <c r="B12" s="101"/>
      <c r="C12" s="102"/>
      <c r="D12" s="102"/>
      <c r="E12" s="102"/>
      <c r="F12" s="103"/>
      <c r="G12" s="20"/>
      <c r="H12" s="107"/>
      <c r="I12" s="108"/>
      <c r="J12" s="108"/>
      <c r="K12" s="108"/>
      <c r="L12" s="109"/>
    </row>
    <row r="13" spans="1:12" ht="17.25" thickBot="1">
      <c r="A13" s="20"/>
      <c r="B13" s="101"/>
      <c r="C13" s="102"/>
      <c r="D13" s="102"/>
      <c r="E13" s="102"/>
      <c r="F13" s="103"/>
      <c r="G13" s="20"/>
      <c r="H13" s="110"/>
      <c r="I13" s="111"/>
      <c r="J13" s="111"/>
      <c r="K13" s="111"/>
      <c r="L13" s="112"/>
    </row>
    <row r="14" spans="1:12">
      <c r="A14" s="20"/>
      <c r="B14" s="90"/>
      <c r="C14" s="89"/>
      <c r="D14" s="89"/>
      <c r="E14" s="89"/>
      <c r="F14" s="91"/>
      <c r="G14" s="20"/>
      <c r="H14" s="20"/>
      <c r="I14" s="20"/>
      <c r="J14" s="20"/>
      <c r="K14" s="20"/>
      <c r="L14" s="20"/>
    </row>
    <row r="15" spans="1:12" ht="17.25" thickBot="1">
      <c r="A15" s="20"/>
      <c r="B15" s="141" t="s">
        <v>141</v>
      </c>
      <c r="C15" s="142"/>
      <c r="D15" s="142"/>
      <c r="E15" s="142"/>
      <c r="F15" s="143"/>
      <c r="G15" s="20"/>
      <c r="H15" s="20"/>
      <c r="I15" s="20"/>
      <c r="J15" s="20"/>
      <c r="K15" s="20"/>
      <c r="L15" s="20"/>
    </row>
    <row r="16" spans="1:12" ht="24.75" thickBot="1">
      <c r="A16" s="20"/>
      <c r="B16" s="21"/>
      <c r="C16" s="21"/>
      <c r="D16" s="21"/>
      <c r="E16" s="21"/>
      <c r="F16" s="25"/>
      <c r="G16" s="25"/>
      <c r="H16" s="120" t="s">
        <v>132</v>
      </c>
      <c r="I16" s="120"/>
      <c r="J16" s="120"/>
      <c r="K16" s="120"/>
      <c r="L16" s="120"/>
    </row>
    <row r="17" spans="1:12" ht="24" customHeight="1">
      <c r="A17" s="39">
        <f>1-0.01*I22</f>
        <v>1</v>
      </c>
      <c r="B17" s="42" t="s">
        <v>104</v>
      </c>
      <c r="C17" s="44" t="s">
        <v>8</v>
      </c>
      <c r="D17" s="44" t="s">
        <v>5</v>
      </c>
      <c r="E17" s="44" t="s">
        <v>36</v>
      </c>
      <c r="F17" s="78" t="s">
        <v>134</v>
      </c>
      <c r="G17" s="46"/>
      <c r="H17" s="121" t="s">
        <v>133</v>
      </c>
      <c r="I17" s="122"/>
      <c r="J17" s="122"/>
      <c r="K17" s="122"/>
      <c r="L17" s="122"/>
    </row>
    <row r="18" spans="1:12" ht="24" customHeight="1" thickBot="1">
      <c r="A18" s="20"/>
      <c r="B18" s="43" t="s">
        <v>87</v>
      </c>
      <c r="C18" s="41" t="str">
        <f>INDEX(제작리스트!B:B,검색!$G$18)</f>
        <v>제작</v>
      </c>
      <c r="D18" s="45" t="str">
        <f>INDEX(제작리스트!C:C,검색!$G$18)</f>
        <v/>
      </c>
      <c r="E18" s="45">
        <f>INDEX(제작리스트!E:E,검색!$G$18)</f>
        <v>5</v>
      </c>
      <c r="F18" s="49" t="e">
        <f>INDEX(제작리스트!P:P,검색!$G$18)</f>
        <v>#VALUE!</v>
      </c>
      <c r="G18" s="79">
        <f>MATCH(B18,제작리스트!A:A,0)</f>
        <v>162</v>
      </c>
      <c r="H18" s="122"/>
      <c r="I18" s="122"/>
      <c r="J18" s="122"/>
      <c r="K18" s="122"/>
      <c r="L18" s="122"/>
    </row>
    <row r="19" spans="1:12" ht="24" customHeight="1" thickBot="1">
      <c r="A19" s="20"/>
      <c r="B19" s="20"/>
      <c r="C19" s="20"/>
      <c r="D19" s="20"/>
      <c r="E19" s="20"/>
      <c r="F19" s="20"/>
      <c r="G19" s="20"/>
      <c r="H19" s="122"/>
      <c r="I19" s="122"/>
      <c r="J19" s="122"/>
      <c r="K19" s="122"/>
      <c r="L19" s="122"/>
    </row>
    <row r="20" spans="1:12" ht="17.25" thickBot="1">
      <c r="A20" s="20"/>
      <c r="B20" s="138" t="s">
        <v>135</v>
      </c>
      <c r="C20" s="138"/>
      <c r="D20" s="139" t="s">
        <v>131</v>
      </c>
      <c r="E20" s="113"/>
      <c r="F20" s="114"/>
      <c r="G20" s="51"/>
      <c r="H20" s="25"/>
      <c r="I20" s="62" t="s">
        <v>125</v>
      </c>
      <c r="J20" s="61" t="s">
        <v>126</v>
      </c>
      <c r="K20" s="61" t="s">
        <v>127</v>
      </c>
      <c r="L20" s="59" t="s">
        <v>129</v>
      </c>
    </row>
    <row r="21" spans="1:12">
      <c r="A21" s="20"/>
      <c r="B21" s="22" t="s">
        <v>79</v>
      </c>
      <c r="C21" s="50" t="e">
        <f>INDEX(제작리스트!A:A,G21)</f>
        <v>#VALUE!</v>
      </c>
      <c r="D21" s="144" t="e">
        <f>INDEX(제작리스트!P:P,G21)</f>
        <v>#VALUE!</v>
      </c>
      <c r="E21" s="145"/>
      <c r="F21" s="146"/>
      <c r="G21" s="60" t="e">
        <f>MATCH(LARGE(제작리스트!P:P,1),제작리스트!P:P,0)</f>
        <v>#VALUE!</v>
      </c>
      <c r="H21" s="63" t="s">
        <v>111</v>
      </c>
      <c r="I21" s="92"/>
      <c r="J21" s="92"/>
      <c r="K21" s="92"/>
      <c r="L21" s="93"/>
    </row>
    <row r="22" spans="1:12">
      <c r="A22" s="20"/>
      <c r="B22" s="47" t="s">
        <v>136</v>
      </c>
      <c r="C22" s="76" t="e">
        <f>INDEX(제작리스트!A:A,G22)</f>
        <v>#VALUE!</v>
      </c>
      <c r="D22" s="129" t="e">
        <f>INDEX(제작리스트!P:P,G22)</f>
        <v>#VALUE!</v>
      </c>
      <c r="E22" s="130"/>
      <c r="F22" s="131"/>
      <c r="G22" s="60" t="e">
        <f t="array" ref="G22">IF(LARGE(제작리스트!P:P,1)=LARGE(제작리스트!P:P,2),IF(LARGE(제작리스트!P:P,3)=LARGE(제작리스트!P:P,2),LARGE(IF(제작리스트!P:P=LARGE(제작리스트!P:P,2),ROW(A:A),0),2),LARGE(IF(제작리스트!P:P=LARGE(제작리스트!P:P,1),ROW(A:A),0),1)),MATCH(LARGE(제작리스트!P:P,2),제작리스트!P:P,0))</f>
        <v>#VALUE!</v>
      </c>
      <c r="H22" s="64" t="s">
        <v>112</v>
      </c>
      <c r="I22" s="94"/>
      <c r="J22" s="94"/>
      <c r="K22" s="94"/>
      <c r="L22" s="95"/>
    </row>
    <row r="23" spans="1:12" ht="17.25" thickBot="1">
      <c r="A23" s="20"/>
      <c r="B23" s="48" t="s">
        <v>137</v>
      </c>
      <c r="C23" s="77" t="e">
        <f>INDEX(제작리스트!A:A,G23)</f>
        <v>#VALUE!</v>
      </c>
      <c r="D23" s="132" t="e">
        <f>INDEX(제작리스트!P:P,G23)</f>
        <v>#VALUE!</v>
      </c>
      <c r="E23" s="133"/>
      <c r="F23" s="134"/>
      <c r="G23" s="60" t="e">
        <f t="array" ref="G23">IF(LARGE(제작리스트!P:P,2)=LARGE(제작리스트!P:P,3),LARGE(IF(제작리스트!P:P=LARGE(제작리스트!P:P,2),ROW(A:A),0),1),MATCH(LARGE(제작리스트!P:P,3),제작리스트!P:P,0))</f>
        <v>#VALUE!</v>
      </c>
      <c r="H23" s="65" t="s">
        <v>113</v>
      </c>
      <c r="I23" s="96"/>
      <c r="J23" s="96"/>
      <c r="K23" s="96"/>
      <c r="L23" s="97"/>
    </row>
    <row r="24" spans="1:12" ht="17.25" thickBot="1">
      <c r="A24" s="20"/>
      <c r="B24" s="23"/>
      <c r="C24" s="24"/>
      <c r="D24" s="24"/>
      <c r="E24" s="24"/>
      <c r="F24" s="20"/>
      <c r="G24" s="20"/>
      <c r="H24" s="20"/>
      <c r="I24" s="20"/>
      <c r="J24" s="20"/>
      <c r="K24" s="20"/>
      <c r="L24" s="20"/>
    </row>
    <row r="25" spans="1:12" ht="31.5" customHeight="1">
      <c r="A25" s="20"/>
      <c r="B25" s="135" t="s">
        <v>103</v>
      </c>
      <c r="C25" s="136"/>
      <c r="D25" s="136"/>
      <c r="E25" s="136"/>
      <c r="F25" s="137"/>
      <c r="G25" s="51"/>
      <c r="H25" s="20"/>
      <c r="I25" s="20"/>
      <c r="J25" s="20"/>
      <c r="K25" s="20"/>
      <c r="L25" s="20"/>
    </row>
    <row r="26" spans="1:12">
      <c r="A26" s="20"/>
      <c r="B26" s="27" t="s">
        <v>2</v>
      </c>
      <c r="C26" s="127" t="s">
        <v>67</v>
      </c>
      <c r="D26" s="140"/>
      <c r="E26" s="127" t="s">
        <v>26</v>
      </c>
      <c r="F26" s="128"/>
      <c r="G26" s="51"/>
      <c r="H26" s="20"/>
      <c r="I26" s="20"/>
      <c r="J26" s="20"/>
      <c r="K26" s="20"/>
      <c r="L26" s="20"/>
    </row>
    <row r="27" spans="1:12">
      <c r="A27" s="20"/>
      <c r="B27" s="27" t="s">
        <v>37</v>
      </c>
      <c r="C27" s="127" t="s">
        <v>64</v>
      </c>
      <c r="D27" s="140"/>
      <c r="E27" s="127" t="s">
        <v>22</v>
      </c>
      <c r="F27" s="128"/>
      <c r="G27" s="51"/>
      <c r="H27" s="20"/>
      <c r="I27" s="20"/>
      <c r="J27" s="20"/>
      <c r="K27" s="20"/>
      <c r="L27" s="20"/>
    </row>
    <row r="28" spans="1:12">
      <c r="A28" s="20"/>
      <c r="B28" s="27" t="s">
        <v>6</v>
      </c>
      <c r="C28" s="127" t="s">
        <v>63</v>
      </c>
      <c r="D28" s="140"/>
      <c r="E28" s="127" t="s">
        <v>29</v>
      </c>
      <c r="F28" s="128"/>
      <c r="G28" s="51"/>
      <c r="H28" s="20"/>
      <c r="I28" s="20"/>
      <c r="J28" s="20"/>
      <c r="K28" s="20"/>
      <c r="L28" s="20"/>
    </row>
    <row r="29" spans="1:12">
      <c r="A29" s="20"/>
      <c r="B29" s="27" t="s">
        <v>9</v>
      </c>
      <c r="C29" s="127" t="s">
        <v>65</v>
      </c>
      <c r="D29" s="140"/>
      <c r="E29" s="127" t="s">
        <v>34</v>
      </c>
      <c r="F29" s="128"/>
      <c r="G29" s="51"/>
      <c r="H29" s="20"/>
      <c r="I29" s="20"/>
      <c r="J29" s="20"/>
      <c r="K29" s="20"/>
      <c r="L29" s="20"/>
    </row>
    <row r="30" spans="1:12">
      <c r="A30" s="20"/>
      <c r="B30" s="27" t="s">
        <v>16</v>
      </c>
      <c r="C30" s="127" t="s">
        <v>70</v>
      </c>
      <c r="D30" s="140"/>
      <c r="E30" s="127" t="s">
        <v>33</v>
      </c>
      <c r="F30" s="128"/>
      <c r="G30" s="51"/>
      <c r="H30" s="20"/>
      <c r="I30" s="20"/>
      <c r="J30" s="20"/>
      <c r="K30" s="20"/>
      <c r="L30" s="20"/>
    </row>
    <row r="31" spans="1:12">
      <c r="A31" s="20"/>
      <c r="B31" s="27" t="s">
        <v>44</v>
      </c>
      <c r="C31" s="127" t="s">
        <v>71</v>
      </c>
      <c r="D31" s="140"/>
      <c r="E31" s="127" t="s">
        <v>35</v>
      </c>
      <c r="F31" s="128"/>
      <c r="G31" s="51"/>
      <c r="H31" s="20"/>
      <c r="I31" s="20"/>
      <c r="J31" s="20"/>
      <c r="K31" s="20"/>
      <c r="L31" s="20"/>
    </row>
    <row r="32" spans="1:12">
      <c r="A32" s="20"/>
      <c r="B32" s="27" t="s">
        <v>46</v>
      </c>
      <c r="C32" s="127" t="s">
        <v>72</v>
      </c>
      <c r="D32" s="140"/>
      <c r="E32" s="127" t="s">
        <v>118</v>
      </c>
      <c r="F32" s="128"/>
      <c r="G32" s="51"/>
      <c r="H32" s="20"/>
      <c r="I32" s="20"/>
      <c r="J32" s="20"/>
      <c r="K32" s="20"/>
      <c r="L32" s="20"/>
    </row>
    <row r="33" spans="1:12">
      <c r="A33" s="20"/>
      <c r="B33" s="27" t="s">
        <v>48</v>
      </c>
      <c r="C33" s="127" t="s">
        <v>54</v>
      </c>
      <c r="D33" s="140"/>
      <c r="E33" s="127" t="s">
        <v>119</v>
      </c>
      <c r="F33" s="128"/>
      <c r="G33" s="51"/>
      <c r="H33" s="20"/>
      <c r="I33" s="20"/>
      <c r="J33" s="20"/>
      <c r="K33" s="20"/>
      <c r="L33" s="20"/>
    </row>
    <row r="34" spans="1:12">
      <c r="A34" s="20"/>
      <c r="B34" s="27" t="s">
        <v>55</v>
      </c>
      <c r="C34" s="127" t="s">
        <v>53</v>
      </c>
      <c r="D34" s="140"/>
      <c r="E34" s="127" t="s">
        <v>120</v>
      </c>
      <c r="F34" s="128"/>
      <c r="G34" s="51"/>
      <c r="H34" s="20"/>
      <c r="I34" s="20"/>
      <c r="J34" s="20"/>
      <c r="K34" s="20"/>
      <c r="L34" s="20"/>
    </row>
    <row r="35" spans="1:12">
      <c r="A35" s="20"/>
      <c r="B35" s="27" t="s">
        <v>50</v>
      </c>
      <c r="C35" s="127" t="s">
        <v>52</v>
      </c>
      <c r="D35" s="140"/>
      <c r="E35" s="127" t="s">
        <v>58</v>
      </c>
      <c r="F35" s="128"/>
      <c r="G35" s="51"/>
      <c r="H35" s="26"/>
      <c r="I35" s="58"/>
      <c r="J35" s="20"/>
      <c r="K35" s="20"/>
      <c r="L35" s="20"/>
    </row>
    <row r="36" spans="1:12">
      <c r="A36" s="20"/>
      <c r="B36" s="27" t="s">
        <v>51</v>
      </c>
      <c r="C36" s="127" t="s">
        <v>49</v>
      </c>
      <c r="D36" s="140"/>
      <c r="E36" s="127"/>
      <c r="F36" s="128"/>
      <c r="G36" s="51"/>
      <c r="H36" s="26"/>
      <c r="I36" s="58"/>
      <c r="J36" s="20"/>
      <c r="K36" s="20"/>
      <c r="L36" s="20"/>
    </row>
    <row r="37" spans="1:12">
      <c r="A37" s="20"/>
      <c r="B37" s="27" t="s">
        <v>57</v>
      </c>
      <c r="C37" s="127" t="s">
        <v>66</v>
      </c>
      <c r="D37" s="140"/>
      <c r="E37" s="123"/>
      <c r="F37" s="124"/>
      <c r="G37" s="51"/>
      <c r="H37" s="26"/>
      <c r="I37" s="58"/>
      <c r="J37" s="20"/>
      <c r="K37" s="20"/>
      <c r="L37" s="20"/>
    </row>
    <row r="38" spans="1:12">
      <c r="A38" s="20"/>
      <c r="B38" s="27" t="s">
        <v>68</v>
      </c>
      <c r="C38" s="127" t="s">
        <v>90</v>
      </c>
      <c r="D38" s="140"/>
      <c r="E38" s="123"/>
      <c r="F38" s="124"/>
      <c r="G38" s="51"/>
      <c r="H38" s="26"/>
      <c r="I38" s="58"/>
      <c r="J38" s="20"/>
      <c r="K38" s="20"/>
      <c r="L38" s="20"/>
    </row>
    <row r="39" spans="1:12">
      <c r="A39" s="20"/>
      <c r="B39" s="27" t="s">
        <v>98</v>
      </c>
      <c r="C39" s="127" t="s">
        <v>91</v>
      </c>
      <c r="D39" s="140"/>
      <c r="E39" s="123"/>
      <c r="F39" s="124"/>
      <c r="G39" s="20"/>
      <c r="H39" s="26"/>
      <c r="I39" s="20"/>
      <c r="J39" s="20"/>
      <c r="K39" s="20"/>
      <c r="L39" s="20"/>
    </row>
    <row r="40" spans="1:12">
      <c r="A40" s="20"/>
      <c r="B40" s="27" t="s">
        <v>102</v>
      </c>
      <c r="C40" s="127" t="s">
        <v>62</v>
      </c>
      <c r="D40" s="140"/>
      <c r="E40" s="123"/>
      <c r="F40" s="124"/>
      <c r="G40" s="51"/>
      <c r="H40" s="20"/>
      <c r="I40" s="20"/>
      <c r="J40" s="20"/>
      <c r="K40" s="20"/>
      <c r="L40" s="20"/>
    </row>
    <row r="41" spans="1:12">
      <c r="A41" s="20"/>
      <c r="B41" s="87" t="s">
        <v>146</v>
      </c>
      <c r="C41" s="127" t="s">
        <v>69</v>
      </c>
      <c r="D41" s="140"/>
      <c r="E41" s="123"/>
      <c r="F41" s="124"/>
      <c r="G41" s="51"/>
      <c r="H41" s="20"/>
      <c r="I41" s="20"/>
      <c r="J41" s="20"/>
      <c r="K41" s="20"/>
      <c r="L41" s="20"/>
    </row>
    <row r="42" spans="1:12">
      <c r="A42" s="20"/>
      <c r="B42" s="87" t="s">
        <v>147</v>
      </c>
      <c r="C42" s="127" t="s">
        <v>74</v>
      </c>
      <c r="D42" s="140"/>
      <c r="E42" s="123"/>
      <c r="F42" s="124"/>
      <c r="G42" s="51"/>
      <c r="H42" s="20"/>
      <c r="I42" s="20"/>
      <c r="J42" s="20"/>
      <c r="K42" s="20"/>
      <c r="L42" s="20"/>
    </row>
    <row r="43" spans="1:12" ht="17.25" thickBot="1">
      <c r="A43" s="20"/>
      <c r="B43" s="88" t="s">
        <v>148</v>
      </c>
      <c r="C43" s="148" t="s">
        <v>73</v>
      </c>
      <c r="D43" s="149"/>
      <c r="E43" s="125"/>
      <c r="F43" s="126"/>
      <c r="G43" s="51"/>
      <c r="H43" s="20"/>
      <c r="I43" s="20"/>
      <c r="J43" s="20"/>
      <c r="K43" s="20"/>
      <c r="L43" s="20"/>
    </row>
    <row r="44" spans="1:12">
      <c r="A44" s="20"/>
      <c r="B44" s="28" t="s">
        <v>67</v>
      </c>
      <c r="C44" s="58"/>
      <c r="D44" s="58"/>
      <c r="E44" s="25"/>
      <c r="F44" s="58"/>
      <c r="G44" s="51"/>
      <c r="H44" s="20"/>
      <c r="I44" s="20"/>
      <c r="J44" s="20"/>
      <c r="K44" s="20"/>
      <c r="L44" s="20"/>
    </row>
    <row r="45" spans="1:12">
      <c r="A45" s="20"/>
      <c r="B45" s="28" t="s">
        <v>64</v>
      </c>
      <c r="C45" s="58"/>
      <c r="D45" s="58"/>
      <c r="E45" s="25"/>
      <c r="F45" s="58"/>
      <c r="G45" s="51"/>
      <c r="H45" s="20"/>
      <c r="I45" s="20"/>
      <c r="J45" s="20"/>
      <c r="K45" s="20"/>
      <c r="L45" s="20"/>
    </row>
    <row r="46" spans="1:12" hidden="1">
      <c r="A46" s="20"/>
      <c r="B46" s="28" t="s">
        <v>63</v>
      </c>
      <c r="C46" s="58"/>
      <c r="D46" s="58"/>
      <c r="E46" s="25"/>
      <c r="F46" s="58"/>
      <c r="G46" s="51"/>
      <c r="H46" s="20"/>
      <c r="I46" s="20"/>
      <c r="J46" s="20"/>
      <c r="K46" s="20"/>
      <c r="L46" s="20"/>
    </row>
    <row r="47" spans="1:12" hidden="1">
      <c r="A47" s="20"/>
      <c r="B47" s="28" t="s">
        <v>65</v>
      </c>
      <c r="C47" s="147"/>
      <c r="D47" s="147"/>
      <c r="E47" s="25"/>
      <c r="F47" s="58"/>
      <c r="G47" s="51"/>
      <c r="H47" s="20"/>
      <c r="I47" s="20"/>
      <c r="J47" s="20"/>
      <c r="K47" s="20"/>
      <c r="L47" s="20"/>
    </row>
    <row r="48" spans="1:12" hidden="1">
      <c r="A48" s="20"/>
      <c r="B48" s="28" t="s">
        <v>70</v>
      </c>
      <c r="C48" s="25"/>
      <c r="D48" s="58"/>
      <c r="E48" s="25"/>
      <c r="F48" s="58"/>
      <c r="G48" s="51"/>
      <c r="H48" s="20"/>
      <c r="I48" s="20"/>
      <c r="J48" s="20"/>
      <c r="K48" s="20"/>
      <c r="L48" s="20"/>
    </row>
    <row r="49" spans="1:12" hidden="1">
      <c r="A49" s="20"/>
      <c r="B49" s="28" t="s">
        <v>71</v>
      </c>
      <c r="C49" s="25"/>
      <c r="D49" s="58"/>
      <c r="E49" s="25"/>
      <c r="F49" s="58"/>
      <c r="G49" s="51"/>
      <c r="H49" s="20"/>
      <c r="I49" s="20"/>
      <c r="J49" s="20"/>
      <c r="K49" s="20"/>
      <c r="L49" s="20"/>
    </row>
    <row r="50" spans="1:12" hidden="1">
      <c r="A50" s="20"/>
      <c r="B50" s="28" t="s">
        <v>72</v>
      </c>
      <c r="C50" s="25"/>
      <c r="D50" s="58"/>
      <c r="E50" s="25"/>
      <c r="F50" s="58"/>
      <c r="G50" s="51"/>
      <c r="H50" s="20"/>
      <c r="I50" s="20"/>
      <c r="J50" s="20"/>
      <c r="K50" s="20"/>
      <c r="L50" s="20"/>
    </row>
    <row r="51" spans="1:12" hidden="1">
      <c r="A51" s="20"/>
      <c r="B51" s="28" t="s">
        <v>54</v>
      </c>
      <c r="C51" s="25"/>
      <c r="D51" s="58"/>
      <c r="E51" s="25"/>
      <c r="F51" s="58"/>
      <c r="G51" s="51"/>
      <c r="H51" s="20"/>
      <c r="I51" s="20"/>
      <c r="J51" s="20"/>
      <c r="K51" s="20"/>
      <c r="L51" s="20"/>
    </row>
    <row r="52" spans="1:12" hidden="1">
      <c r="A52" s="20"/>
      <c r="B52" s="28" t="s">
        <v>53</v>
      </c>
      <c r="C52" s="25"/>
      <c r="D52" s="58"/>
      <c r="E52" s="25"/>
      <c r="F52" s="26"/>
      <c r="G52" s="51"/>
      <c r="H52" s="20"/>
      <c r="I52" s="20"/>
      <c r="J52" s="20"/>
      <c r="K52" s="20"/>
      <c r="L52" s="20"/>
    </row>
    <row r="53" spans="1:12" hidden="1">
      <c r="A53" s="20"/>
      <c r="B53" s="28" t="s">
        <v>52</v>
      </c>
      <c r="C53" s="25"/>
      <c r="D53" s="58"/>
      <c r="E53" s="25"/>
      <c r="F53" s="26"/>
      <c r="G53" s="51"/>
      <c r="H53" s="20"/>
      <c r="I53" s="20"/>
      <c r="J53" s="20"/>
      <c r="K53" s="20"/>
      <c r="L53" s="20"/>
    </row>
    <row r="54" spans="1:12" hidden="1">
      <c r="A54" s="20"/>
      <c r="B54" s="28" t="s">
        <v>49</v>
      </c>
      <c r="C54" s="25"/>
      <c r="D54" s="58"/>
      <c r="E54" s="25"/>
      <c r="F54" s="26"/>
      <c r="G54" s="51"/>
      <c r="H54" s="20"/>
      <c r="I54" s="20"/>
      <c r="J54" s="20"/>
      <c r="K54" s="20"/>
      <c r="L54" s="20"/>
    </row>
    <row r="55" spans="1:12" hidden="1">
      <c r="A55" s="20"/>
      <c r="B55" s="28" t="s">
        <v>66</v>
      </c>
      <c r="C55" s="25"/>
      <c r="D55" s="58"/>
      <c r="E55" s="25"/>
      <c r="F55" s="26"/>
      <c r="G55" s="51"/>
      <c r="H55" s="20"/>
      <c r="I55" s="20"/>
      <c r="J55" s="20"/>
      <c r="K55" s="20"/>
      <c r="L55" s="20"/>
    </row>
    <row r="56" spans="1:12" hidden="1">
      <c r="A56" s="20"/>
      <c r="B56" s="28" t="s">
        <v>90</v>
      </c>
      <c r="C56" s="25"/>
      <c r="D56" s="58"/>
      <c r="E56" s="25"/>
      <c r="F56" s="26"/>
      <c r="G56" s="51"/>
      <c r="H56" s="20"/>
      <c r="I56" s="20"/>
      <c r="J56" s="20"/>
      <c r="K56" s="20"/>
      <c r="L56" s="20"/>
    </row>
    <row r="57" spans="1:12" hidden="1">
      <c r="A57" s="20"/>
      <c r="B57" s="28" t="s">
        <v>91</v>
      </c>
      <c r="C57" s="25"/>
      <c r="D57" s="58"/>
      <c r="E57" s="25"/>
      <c r="F57" s="26"/>
      <c r="G57" s="51"/>
      <c r="H57" s="20"/>
      <c r="I57" s="20"/>
      <c r="J57" s="20"/>
      <c r="K57" s="20"/>
      <c r="L57" s="20"/>
    </row>
    <row r="58" spans="1:12" hidden="1">
      <c r="A58" s="20"/>
      <c r="B58" s="28" t="s">
        <v>62</v>
      </c>
      <c r="C58" s="25"/>
      <c r="D58" s="58"/>
      <c r="E58" s="25"/>
      <c r="F58" s="26"/>
      <c r="G58" s="51"/>
      <c r="H58" s="20"/>
      <c r="I58" s="20"/>
      <c r="J58" s="20"/>
      <c r="K58" s="20"/>
      <c r="L58" s="20"/>
    </row>
    <row r="59" spans="1:12" hidden="1">
      <c r="A59" s="20"/>
      <c r="B59" s="28" t="s">
        <v>69</v>
      </c>
      <c r="C59" s="25"/>
      <c r="D59" s="58"/>
      <c r="E59" s="25"/>
      <c r="F59" s="26"/>
      <c r="G59" s="51"/>
      <c r="H59" s="20"/>
      <c r="I59" s="20"/>
      <c r="J59" s="20"/>
      <c r="K59" s="20"/>
      <c r="L59" s="20"/>
    </row>
    <row r="60" spans="1:12" hidden="1">
      <c r="A60" s="20"/>
      <c r="B60" s="28" t="s">
        <v>74</v>
      </c>
      <c r="C60" s="25"/>
      <c r="D60" s="58"/>
      <c r="E60" s="25"/>
      <c r="F60" s="26"/>
      <c r="G60" s="51"/>
      <c r="H60" s="20"/>
      <c r="I60" s="20"/>
      <c r="J60" s="20"/>
      <c r="K60" s="20"/>
      <c r="L60" s="20"/>
    </row>
    <row r="61" spans="1:12" hidden="1">
      <c r="A61" s="20"/>
      <c r="B61" s="28" t="s">
        <v>73</v>
      </c>
      <c r="C61" s="25"/>
      <c r="D61" s="58"/>
      <c r="E61" s="20"/>
      <c r="F61" s="20"/>
      <c r="G61" s="20"/>
      <c r="H61" s="20"/>
      <c r="I61" s="20"/>
      <c r="J61" s="20"/>
      <c r="K61" s="20"/>
      <c r="L61" s="20"/>
    </row>
    <row r="62" spans="1:12" hidden="1">
      <c r="A62" s="20"/>
      <c r="B62" s="28" t="s">
        <v>26</v>
      </c>
      <c r="C62" s="25"/>
      <c r="D62" s="58"/>
      <c r="E62" s="20"/>
      <c r="F62" s="20"/>
      <c r="G62" s="20"/>
      <c r="H62" s="20"/>
      <c r="I62" s="20"/>
      <c r="J62" s="20"/>
      <c r="K62" s="20"/>
      <c r="L62" s="20"/>
    </row>
    <row r="63" spans="1:12" hidden="1">
      <c r="A63" s="20"/>
      <c r="B63" s="28" t="s">
        <v>22</v>
      </c>
      <c r="C63" s="25"/>
      <c r="D63" s="58"/>
      <c r="E63" s="20"/>
      <c r="F63" s="20"/>
      <c r="G63" s="20"/>
      <c r="H63" s="20"/>
      <c r="I63" s="20"/>
      <c r="J63" s="20"/>
      <c r="K63" s="20"/>
      <c r="L63" s="20"/>
    </row>
    <row r="64" spans="1:12" hidden="1">
      <c r="A64" s="20"/>
      <c r="B64" s="28" t="s">
        <v>29</v>
      </c>
      <c r="C64" s="25"/>
      <c r="D64" s="58"/>
      <c r="E64" s="20"/>
      <c r="F64" s="20"/>
      <c r="G64" s="20"/>
      <c r="H64" s="20"/>
      <c r="I64" s="20"/>
      <c r="J64" s="20"/>
      <c r="K64" s="20"/>
      <c r="L64" s="20"/>
    </row>
    <row r="65" spans="1:12" hidden="1">
      <c r="A65" s="20"/>
      <c r="B65" s="28" t="s">
        <v>34</v>
      </c>
      <c r="C65" s="25"/>
      <c r="D65" s="58"/>
      <c r="E65" s="20"/>
      <c r="F65" s="20"/>
      <c r="G65" s="20"/>
      <c r="H65" s="20"/>
      <c r="I65" s="20"/>
      <c r="J65" s="20"/>
      <c r="K65" s="20"/>
      <c r="L65" s="20"/>
    </row>
    <row r="66" spans="1:12" hidden="1">
      <c r="A66" s="20"/>
      <c r="B66" s="28" t="s">
        <v>33</v>
      </c>
      <c r="C66" s="25"/>
      <c r="D66" s="58"/>
      <c r="E66" s="20"/>
      <c r="F66" s="20"/>
      <c r="G66" s="20"/>
      <c r="H66" s="20"/>
      <c r="I66" s="20"/>
      <c r="J66" s="20"/>
      <c r="K66" s="20"/>
      <c r="L66" s="20"/>
    </row>
    <row r="67" spans="1:12" hidden="1">
      <c r="A67" s="20"/>
      <c r="B67" s="28" t="s">
        <v>35</v>
      </c>
      <c r="C67" s="25"/>
      <c r="D67" s="58"/>
      <c r="E67" s="20"/>
      <c r="F67" s="20"/>
      <c r="G67" s="20"/>
      <c r="H67" s="20"/>
      <c r="I67" s="20"/>
      <c r="J67" s="20"/>
      <c r="K67" s="20"/>
      <c r="L67" s="20"/>
    </row>
    <row r="68" spans="1:12" hidden="1">
      <c r="A68" s="20"/>
      <c r="B68" s="28" t="s">
        <v>118</v>
      </c>
      <c r="C68" s="25"/>
      <c r="D68" s="58"/>
      <c r="E68" s="20"/>
      <c r="F68" s="20"/>
      <c r="G68" s="20"/>
      <c r="H68" s="20"/>
      <c r="I68" s="20"/>
      <c r="J68" s="20"/>
      <c r="K68" s="20"/>
      <c r="L68" s="20"/>
    </row>
    <row r="69" spans="1:12" hidden="1">
      <c r="A69" s="20"/>
      <c r="B69" s="28" t="s">
        <v>119</v>
      </c>
      <c r="C69" s="25"/>
      <c r="D69" s="58"/>
      <c r="E69" s="20"/>
      <c r="F69" s="20"/>
      <c r="G69" s="20"/>
      <c r="H69" s="20"/>
      <c r="I69" s="20"/>
      <c r="J69" s="20"/>
      <c r="K69" s="20"/>
      <c r="L69" s="20"/>
    </row>
    <row r="70" spans="1:12" hidden="1">
      <c r="A70" s="20"/>
      <c r="B70" s="28" t="s">
        <v>120</v>
      </c>
      <c r="C70" s="25"/>
      <c r="D70" s="58"/>
      <c r="E70" s="20"/>
      <c r="F70" s="20"/>
      <c r="G70" s="20"/>
      <c r="H70" s="20"/>
      <c r="I70" s="20"/>
      <c r="J70" s="20"/>
      <c r="K70" s="20"/>
      <c r="L70" s="20"/>
    </row>
    <row r="71" spans="1:12" hidden="1">
      <c r="A71" s="20"/>
      <c r="B71" s="28" t="s">
        <v>58</v>
      </c>
      <c r="C71" s="25"/>
      <c r="D71" s="58"/>
      <c r="E71" s="20"/>
      <c r="F71" s="20"/>
      <c r="G71" s="20"/>
      <c r="H71" s="20"/>
      <c r="I71" s="20"/>
      <c r="J71" s="20"/>
      <c r="K71" s="20"/>
      <c r="L71" s="20"/>
    </row>
    <row r="72" spans="1:12" hidden="1">
      <c r="A72" s="20"/>
      <c r="B72" s="29"/>
      <c r="C72" s="25"/>
      <c r="D72" s="20"/>
      <c r="E72" s="20"/>
      <c r="F72" s="20"/>
      <c r="G72" s="20"/>
      <c r="H72" s="20"/>
      <c r="I72" s="20"/>
      <c r="J72" s="20"/>
      <c r="K72" s="20"/>
      <c r="L72" s="20"/>
    </row>
    <row r="73" spans="1:12" hidden="1">
      <c r="A73" s="20"/>
      <c r="B73" s="29"/>
      <c r="C73" s="25"/>
      <c r="D73" s="20"/>
      <c r="E73" s="20"/>
      <c r="F73" s="20"/>
      <c r="G73" s="20"/>
      <c r="H73" s="20"/>
      <c r="I73" s="20"/>
      <c r="J73" s="20"/>
      <c r="K73" s="20"/>
      <c r="L73" s="20"/>
    </row>
    <row r="74" spans="1:12" hidden="1">
      <c r="A74" s="20"/>
      <c r="B74" s="29"/>
      <c r="C74" s="25"/>
      <c r="D74" s="20"/>
      <c r="E74" s="20"/>
      <c r="F74" s="20"/>
      <c r="G74" s="20"/>
      <c r="H74" s="20"/>
      <c r="I74" s="20"/>
      <c r="J74" s="20"/>
      <c r="K74" s="20"/>
      <c r="L74" s="20"/>
    </row>
    <row r="75" spans="1:12" hidden="1">
      <c r="A75" s="20"/>
      <c r="B75" s="29"/>
      <c r="C75" s="25"/>
      <c r="D75" s="20"/>
      <c r="E75" s="20"/>
      <c r="F75" s="20"/>
      <c r="G75" s="20"/>
      <c r="H75" s="20"/>
      <c r="I75" s="20"/>
      <c r="J75" s="20"/>
      <c r="K75" s="20"/>
      <c r="L75" s="20"/>
    </row>
    <row r="76" spans="1:12" hidden="1">
      <c r="A76" s="20"/>
      <c r="B76" s="29"/>
      <c r="C76" s="25"/>
      <c r="D76" s="20"/>
      <c r="E76" s="20"/>
      <c r="F76" s="20"/>
      <c r="G76" s="20"/>
      <c r="H76" s="20"/>
      <c r="I76" s="20"/>
      <c r="J76" s="20"/>
      <c r="K76" s="20"/>
      <c r="L76" s="20"/>
    </row>
    <row r="77" spans="1:12" hidden="1">
      <c r="A77" s="20"/>
      <c r="B77" s="29"/>
      <c r="C77" s="25"/>
      <c r="D77" s="20"/>
      <c r="E77" s="20"/>
      <c r="F77" s="20"/>
      <c r="G77" s="20"/>
      <c r="H77" s="20"/>
      <c r="I77" s="20"/>
      <c r="J77" s="20"/>
      <c r="K77" s="20"/>
      <c r="L77" s="20"/>
    </row>
    <row r="78" spans="1:12" hidden="1">
      <c r="A78" s="20"/>
      <c r="B78" s="29"/>
      <c r="C78" s="25"/>
      <c r="D78" s="20"/>
      <c r="E78" s="20"/>
      <c r="F78" s="20"/>
      <c r="G78" s="20"/>
      <c r="H78" s="20"/>
      <c r="I78" s="20"/>
      <c r="J78" s="20"/>
      <c r="K78" s="20"/>
      <c r="L78" s="20"/>
    </row>
    <row r="79" spans="1:12" hidden="1">
      <c r="A79" s="20"/>
      <c r="B79" s="29"/>
      <c r="C79" s="25"/>
      <c r="D79" s="20"/>
      <c r="E79" s="20"/>
      <c r="F79" s="20"/>
      <c r="G79" s="20"/>
      <c r="H79" s="20"/>
      <c r="I79" s="20"/>
      <c r="J79" s="20"/>
      <c r="K79" s="20"/>
      <c r="L79" s="20"/>
    </row>
    <row r="80" spans="1:12" hidden="1">
      <c r="A80" s="20"/>
      <c r="B80" s="29"/>
      <c r="C80" s="25"/>
      <c r="D80" s="20"/>
      <c r="E80" s="20"/>
      <c r="F80" s="20"/>
      <c r="G80" s="20"/>
      <c r="H80" s="20"/>
      <c r="I80" s="20"/>
      <c r="J80" s="20"/>
      <c r="K80" s="20"/>
      <c r="L80" s="20"/>
    </row>
    <row r="81" spans="1:12" hidden="1">
      <c r="A81" s="20"/>
      <c r="B81" s="29"/>
      <c r="C81" s="25"/>
      <c r="D81" s="20"/>
      <c r="E81" s="20"/>
      <c r="F81" s="20"/>
      <c r="G81" s="20"/>
      <c r="H81" s="20"/>
      <c r="I81" s="20"/>
      <c r="J81" s="20"/>
      <c r="K81" s="20"/>
      <c r="L81" s="20"/>
    </row>
    <row r="82" spans="1:12" hidden="1">
      <c r="A82" s="20"/>
      <c r="B82" s="29"/>
      <c r="C82" s="25"/>
      <c r="D82" s="20"/>
      <c r="E82" s="20"/>
      <c r="F82" s="20"/>
      <c r="G82" s="20"/>
      <c r="H82" s="20"/>
      <c r="I82" s="20"/>
      <c r="J82" s="20"/>
      <c r="K82" s="20"/>
      <c r="L82" s="20"/>
    </row>
    <row r="83" spans="1:12" hidden="1">
      <c r="A83" s="20"/>
      <c r="B83" s="29"/>
      <c r="C83" s="25"/>
      <c r="D83" s="20"/>
      <c r="E83" s="20"/>
      <c r="F83" s="20"/>
      <c r="G83" s="20"/>
      <c r="H83" s="20"/>
      <c r="I83" s="20"/>
      <c r="J83" s="20"/>
      <c r="K83" s="20"/>
      <c r="L83" s="20"/>
    </row>
  </sheetData>
  <mergeCells count="53">
    <mergeCell ref="C37:D37"/>
    <mergeCell ref="C28:D28"/>
    <mergeCell ref="C29:D29"/>
    <mergeCell ref="C30:D30"/>
    <mergeCell ref="C31:D31"/>
    <mergeCell ref="C32:D32"/>
    <mergeCell ref="C35:D35"/>
    <mergeCell ref="C47:D47"/>
    <mergeCell ref="C38:D38"/>
    <mergeCell ref="C39:D39"/>
    <mergeCell ref="C40:D40"/>
    <mergeCell ref="C41:D41"/>
    <mergeCell ref="C42:D42"/>
    <mergeCell ref="C43:D43"/>
    <mergeCell ref="B15:F15"/>
    <mergeCell ref="E37:F37"/>
    <mergeCell ref="E38:F38"/>
    <mergeCell ref="E39:F39"/>
    <mergeCell ref="E32:F32"/>
    <mergeCell ref="E33:F33"/>
    <mergeCell ref="E34:F34"/>
    <mergeCell ref="E35:F35"/>
    <mergeCell ref="E36:F36"/>
    <mergeCell ref="E27:F27"/>
    <mergeCell ref="E28:F28"/>
    <mergeCell ref="E29:F29"/>
    <mergeCell ref="E30:F30"/>
    <mergeCell ref="E31:F31"/>
    <mergeCell ref="D21:F21"/>
    <mergeCell ref="C36:D36"/>
    <mergeCell ref="H16:L16"/>
    <mergeCell ref="H17:L19"/>
    <mergeCell ref="E42:F42"/>
    <mergeCell ref="E43:F43"/>
    <mergeCell ref="E26:F26"/>
    <mergeCell ref="E40:F40"/>
    <mergeCell ref="E41:F41"/>
    <mergeCell ref="D22:F22"/>
    <mergeCell ref="D23:F23"/>
    <mergeCell ref="B25:F25"/>
    <mergeCell ref="B20:C20"/>
    <mergeCell ref="D20:F20"/>
    <mergeCell ref="C26:D26"/>
    <mergeCell ref="C27:D27"/>
    <mergeCell ref="C33:D33"/>
    <mergeCell ref="C34:D34"/>
    <mergeCell ref="B2:F6"/>
    <mergeCell ref="B7:F10"/>
    <mergeCell ref="B11:F13"/>
    <mergeCell ref="H8:L13"/>
    <mergeCell ref="J5:L5"/>
    <mergeCell ref="I6:L6"/>
    <mergeCell ref="I7:L7"/>
  </mergeCells>
  <phoneticPr fontId="1" type="noConversion"/>
  <conditionalFormatting sqref="C18">
    <cfRule type="expression" dxfId="16" priority="3">
      <formula>($C$18="구매")</formula>
    </cfRule>
    <cfRule type="expression" dxfId="15" priority="4">
      <formula>($C$18="제작")</formula>
    </cfRule>
  </conditionalFormatting>
  <conditionalFormatting sqref="F18">
    <cfRule type="cellIs" dxfId="14" priority="1" operator="lessThanOrEqual">
      <formula>0</formula>
    </cfRule>
    <cfRule type="cellIs" dxfId="13" priority="2" operator="greaterThan">
      <formula>0</formula>
    </cfRule>
  </conditionalFormatting>
  <dataValidations count="2">
    <dataValidation type="list" allowBlank="1" showInputMessage="1" showErrorMessage="1" error="검색 가능한 품목명이 아닙니다." sqref="B18" xr:uid="{7DB1DA95-E5EB-4030-9A3A-B19F7309D539}">
      <formula1>$B$26:$B$71</formula1>
    </dataValidation>
    <dataValidation type="list" allowBlank="1" showInputMessage="1" showErrorMessage="1" sqref="I5" xr:uid="{57A4A582-37F9-4172-A3AB-2692DFD60A8A}">
      <formula1>"stove,naver,facebook,twitter"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custom" allowBlank="1" showInputMessage="1" showErrorMessage="1" xr:uid="{6A8FC039-163C-47C6-8766-A9EB6597B16B}">
          <x14:formula1>
            <xm:f>INDEX(제작리스트!C:C,F21)</xm:f>
          </x14:formula1>
          <xm:sqref>D21:D23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13FAA-F355-4008-9193-F0597B2CAEFA}">
  <sheetPr codeName="Sheet2"/>
  <dimension ref="A1:Q100"/>
  <sheetViews>
    <sheetView topLeftCell="A46" workbookViewId="0">
      <selection activeCell="F69" sqref="F69:F71"/>
    </sheetView>
  </sheetViews>
  <sheetFormatPr defaultRowHeight="16.5"/>
  <cols>
    <col min="1" max="1" width="18.625" style="2" bestFit="1" customWidth="1"/>
    <col min="2" max="2" width="11.375" style="2" bestFit="1" customWidth="1"/>
    <col min="3" max="3" width="9.5" style="2" hidden="1" customWidth="1"/>
    <col min="4" max="4" width="5.25" style="2" bestFit="1" customWidth="1"/>
    <col min="5" max="5" width="11.625" style="2" bestFit="1" customWidth="1"/>
    <col min="6" max="6" width="13.75" style="2" bestFit="1" customWidth="1"/>
    <col min="7" max="7" width="11.375" style="2" bestFit="1" customWidth="1"/>
    <col min="8" max="8" width="15.875" style="2" bestFit="1" customWidth="1"/>
    <col min="9" max="9" width="11.375" style="2" bestFit="1" customWidth="1"/>
    <col min="10" max="10" width="9.625" style="2" bestFit="1" customWidth="1"/>
    <col min="11" max="11" width="9.5" style="2" bestFit="1" customWidth="1"/>
    <col min="12" max="16384" width="9" style="2"/>
  </cols>
  <sheetData>
    <row r="1" spans="1:7">
      <c r="A1" s="2" t="s">
        <v>145</v>
      </c>
      <c r="B1" s="2" t="s">
        <v>3</v>
      </c>
      <c r="D1" s="16" t="s">
        <v>39</v>
      </c>
      <c r="F1" s="2" t="s">
        <v>145</v>
      </c>
      <c r="G1" s="2" t="s">
        <v>3</v>
      </c>
    </row>
    <row r="2" spans="1:7">
      <c r="A2" s="15"/>
      <c r="B2"/>
      <c r="D2" s="16"/>
      <c r="E2" s="3"/>
      <c r="F2" s="3"/>
      <c r="G2"/>
    </row>
    <row r="3" spans="1:7">
      <c r="A3" s="15"/>
      <c r="B3"/>
      <c r="D3" s="16"/>
      <c r="F3" s="3"/>
      <c r="G3"/>
    </row>
    <row r="4" spans="1:7">
      <c r="A4" s="15"/>
      <c r="B4"/>
      <c r="D4" s="16"/>
      <c r="E4" s="3"/>
      <c r="F4" s="3"/>
      <c r="G4"/>
    </row>
    <row r="5" spans="1:7">
      <c r="A5" s="15"/>
      <c r="B5"/>
      <c r="D5" s="16"/>
      <c r="F5" s="3"/>
      <c r="G5"/>
    </row>
    <row r="6" spans="1:7">
      <c r="A6" s="15"/>
      <c r="B6"/>
      <c r="D6" s="16"/>
      <c r="E6" s="3"/>
      <c r="F6" s="3"/>
      <c r="G6"/>
    </row>
    <row r="7" spans="1:7">
      <c r="A7" s="15"/>
      <c r="B7"/>
      <c r="D7" s="16"/>
      <c r="E7" s="3"/>
      <c r="F7" s="3"/>
      <c r="G7"/>
    </row>
    <row r="8" spans="1:7">
      <c r="A8" s="15"/>
      <c r="B8"/>
      <c r="D8" s="16"/>
      <c r="E8" s="3"/>
      <c r="F8" s="3"/>
      <c r="G8"/>
    </row>
    <row r="9" spans="1:7">
      <c r="A9" s="15"/>
      <c r="B9"/>
      <c r="D9" s="16"/>
      <c r="E9" s="3"/>
      <c r="F9" s="3"/>
      <c r="G9"/>
    </row>
    <row r="10" spans="1:7">
      <c r="A10" s="15"/>
      <c r="B10"/>
      <c r="D10" s="16"/>
      <c r="F10" s="3"/>
      <c r="G10"/>
    </row>
    <row r="11" spans="1:7">
      <c r="A11" s="15"/>
      <c r="B11"/>
      <c r="D11" s="16"/>
      <c r="E11" s="3"/>
      <c r="F11" s="3"/>
      <c r="G11"/>
    </row>
    <row r="12" spans="1:7">
      <c r="D12" s="16"/>
      <c r="E12" s="3"/>
    </row>
    <row r="13" spans="1:7">
      <c r="A13" s="15"/>
      <c r="B13"/>
      <c r="D13" s="16"/>
      <c r="F13" s="3"/>
      <c r="G13"/>
    </row>
    <row r="14" spans="1:7">
      <c r="A14" s="15"/>
      <c r="B14"/>
      <c r="D14" s="16"/>
      <c r="E14" s="3"/>
      <c r="F14" s="14"/>
      <c r="G14"/>
    </row>
    <row r="15" spans="1:7">
      <c r="A15" s="15"/>
      <c r="B15"/>
      <c r="D15" s="16"/>
      <c r="E15" s="3"/>
      <c r="F15" s="14"/>
      <c r="G15"/>
    </row>
    <row r="16" spans="1:7">
      <c r="A16" s="15"/>
      <c r="B16"/>
      <c r="D16" s="16"/>
      <c r="E16" s="3"/>
      <c r="F16" s="14"/>
      <c r="G16"/>
    </row>
    <row r="17" spans="1:7">
      <c r="A17" s="15"/>
      <c r="B17"/>
      <c r="D17" s="16"/>
      <c r="F17" s="3"/>
      <c r="G17"/>
    </row>
    <row r="18" spans="1:7">
      <c r="A18" s="15"/>
      <c r="B18"/>
      <c r="D18" s="16"/>
      <c r="E18" s="3"/>
      <c r="F18" s="14"/>
      <c r="G18"/>
    </row>
    <row r="19" spans="1:7">
      <c r="A19" s="15"/>
      <c r="B19"/>
      <c r="D19" s="16"/>
      <c r="E19" s="3"/>
      <c r="F19" s="14"/>
      <c r="G19"/>
    </row>
    <row r="20" spans="1:7">
      <c r="A20" s="15"/>
      <c r="B20"/>
      <c r="D20" s="16"/>
      <c r="E20" s="3"/>
      <c r="F20" s="14"/>
      <c r="G20"/>
    </row>
    <row r="21" spans="1:7">
      <c r="A21" s="15"/>
      <c r="B21"/>
      <c r="D21" s="16"/>
      <c r="F21" s="3"/>
      <c r="G21"/>
    </row>
    <row r="22" spans="1:7">
      <c r="A22" s="15"/>
      <c r="B22"/>
      <c r="D22" s="16"/>
      <c r="E22" s="3"/>
      <c r="F22" s="14"/>
      <c r="G22"/>
    </row>
    <row r="23" spans="1:7">
      <c r="D23" s="16"/>
      <c r="E23" s="3"/>
      <c r="F23"/>
    </row>
    <row r="24" spans="1:7">
      <c r="A24" s="15"/>
      <c r="B24"/>
      <c r="D24" s="16"/>
      <c r="E24" s="3"/>
      <c r="F24" s="14"/>
      <c r="G24"/>
    </row>
    <row r="25" spans="1:7">
      <c r="A25" s="15"/>
      <c r="B25"/>
      <c r="D25" s="16"/>
      <c r="E25" s="3"/>
      <c r="F25" s="14"/>
      <c r="G25"/>
    </row>
    <row r="26" spans="1:7">
      <c r="A26" s="15"/>
      <c r="B26"/>
      <c r="D26" s="16"/>
      <c r="E26" s="3"/>
      <c r="F26" s="14"/>
      <c r="G26"/>
    </row>
    <row r="27" spans="1:7">
      <c r="A27" s="15"/>
      <c r="B27"/>
      <c r="D27" s="16"/>
      <c r="E27" s="3"/>
      <c r="F27" s="14"/>
      <c r="G27"/>
    </row>
    <row r="28" spans="1:7">
      <c r="A28" s="15"/>
      <c r="B28"/>
      <c r="D28" s="16"/>
      <c r="E28" s="3"/>
      <c r="F28" s="14"/>
      <c r="G28"/>
    </row>
    <row r="29" spans="1:7">
      <c r="A29" s="15"/>
      <c r="B29"/>
      <c r="D29" s="16"/>
      <c r="F29" s="3"/>
      <c r="G29"/>
    </row>
    <row r="30" spans="1:7">
      <c r="A30" s="15"/>
      <c r="B30"/>
      <c r="D30" s="16"/>
      <c r="E30" s="3"/>
      <c r="F30" s="14"/>
      <c r="G30"/>
    </row>
    <row r="31" spans="1:7">
      <c r="A31" s="15"/>
      <c r="B31"/>
      <c r="D31" s="16"/>
      <c r="F31" s="3"/>
      <c r="G31"/>
    </row>
    <row r="32" spans="1:7">
      <c r="A32" s="15"/>
      <c r="B32"/>
      <c r="D32" s="16"/>
      <c r="E32" s="3"/>
      <c r="F32" s="14"/>
      <c r="G32"/>
    </row>
    <row r="33" spans="1:7">
      <c r="A33" s="15"/>
      <c r="B33"/>
      <c r="D33" s="16"/>
      <c r="F33" s="3"/>
      <c r="G33"/>
    </row>
    <row r="34" spans="1:7">
      <c r="A34" s="7"/>
      <c r="D34" s="16"/>
    </row>
    <row r="35" spans="1:7">
      <c r="A35" s="9"/>
      <c r="D35" s="16"/>
      <c r="F35" s="3"/>
      <c r="G35"/>
    </row>
    <row r="36" spans="1:7">
      <c r="A36" s="3"/>
      <c r="D36" s="16"/>
      <c r="F36" s="3"/>
      <c r="G36"/>
    </row>
    <row r="37" spans="1:7">
      <c r="A37" s="3"/>
      <c r="D37" s="16"/>
      <c r="F37" s="3"/>
      <c r="G37"/>
    </row>
    <row r="38" spans="1:7">
      <c r="A38" s="3"/>
      <c r="D38" s="16"/>
      <c r="F38" s="3"/>
      <c r="G38"/>
    </row>
    <row r="39" spans="1:7">
      <c r="A39" s="3"/>
      <c r="D39" s="6"/>
      <c r="F39" s="3"/>
      <c r="G39"/>
    </row>
    <row r="40" spans="1:7">
      <c r="D40" s="6"/>
      <c r="F40" s="3"/>
      <c r="G40"/>
    </row>
    <row r="41" spans="1:7">
      <c r="F41" s="3"/>
      <c r="G41"/>
    </row>
    <row r="42" spans="1:7">
      <c r="F42" s="3"/>
      <c r="G42"/>
    </row>
    <row r="43" spans="1:7">
      <c r="F43" s="3"/>
      <c r="G43"/>
    </row>
    <row r="44" spans="1:7">
      <c r="F44" s="3"/>
      <c r="G44"/>
    </row>
    <row r="46" spans="1:7">
      <c r="F46" s="3"/>
      <c r="G46"/>
    </row>
    <row r="47" spans="1:7">
      <c r="F47" s="3"/>
      <c r="G47"/>
    </row>
    <row r="48" spans="1:7">
      <c r="F48" s="3"/>
      <c r="G48"/>
    </row>
    <row r="49" spans="6:7">
      <c r="F49" s="3"/>
      <c r="G49"/>
    </row>
    <row r="50" spans="6:7">
      <c r="F50" s="3"/>
      <c r="G50"/>
    </row>
    <row r="51" spans="6:7">
      <c r="F51" s="3"/>
      <c r="G51"/>
    </row>
    <row r="52" spans="6:7">
      <c r="F52" s="3"/>
      <c r="G52"/>
    </row>
    <row r="53" spans="6:7">
      <c r="F53" s="3"/>
      <c r="G53"/>
    </row>
    <row r="54" spans="6:7">
      <c r="F54" s="3"/>
      <c r="G54"/>
    </row>
    <row r="55" spans="6:7">
      <c r="F55" s="3"/>
      <c r="G55"/>
    </row>
    <row r="57" spans="6:7" ht="17.25" customHeight="1">
      <c r="F57" s="3"/>
    </row>
    <row r="58" spans="6:7">
      <c r="F58" s="3"/>
    </row>
    <row r="59" spans="6:7">
      <c r="F59" s="3"/>
    </row>
    <row r="61" spans="6:7">
      <c r="F61" s="3" t="s">
        <v>20</v>
      </c>
    </row>
    <row r="62" spans="6:7">
      <c r="F62" s="3" t="s">
        <v>21</v>
      </c>
    </row>
    <row r="63" spans="6:7">
      <c r="F63" s="3" t="s">
        <v>117</v>
      </c>
    </row>
    <row r="65" spans="6:17">
      <c r="F65" s="3"/>
      <c r="G65"/>
    </row>
    <row r="66" spans="6:17">
      <c r="L66" s="5"/>
      <c r="M66" s="5"/>
      <c r="N66" s="5"/>
      <c r="O66" s="5"/>
      <c r="P66" s="5"/>
      <c r="Q66" s="5"/>
    </row>
    <row r="67" spans="6:17">
      <c r="F67" s="3" t="s">
        <v>75</v>
      </c>
      <c r="G67"/>
      <c r="L67" s="5"/>
      <c r="M67" s="5"/>
      <c r="N67" s="5"/>
      <c r="O67" s="5"/>
      <c r="P67" s="5"/>
      <c r="Q67" s="5"/>
    </row>
    <row r="68" spans="6:17">
      <c r="F68" s="3"/>
      <c r="G68"/>
      <c r="L68" s="5"/>
      <c r="M68" s="5"/>
      <c r="N68" s="5"/>
      <c r="O68" s="5"/>
      <c r="P68" s="5"/>
      <c r="Q68" s="5"/>
    </row>
    <row r="69" spans="6:17">
      <c r="F69" s="3"/>
      <c r="L69" s="5"/>
      <c r="M69" s="5"/>
      <c r="N69" s="5"/>
      <c r="O69" s="5"/>
      <c r="P69" s="5"/>
      <c r="Q69" s="5"/>
    </row>
    <row r="70" spans="6:17">
      <c r="F70" s="3"/>
      <c r="L70" s="5"/>
      <c r="M70" s="5"/>
      <c r="N70" s="5"/>
      <c r="O70" s="5"/>
      <c r="P70" s="5"/>
      <c r="Q70" s="5"/>
    </row>
    <row r="71" spans="6:17">
      <c r="F71" s="3"/>
      <c r="L71" s="5"/>
      <c r="M71" s="5"/>
      <c r="N71" s="5"/>
      <c r="O71" s="5"/>
      <c r="P71" s="5"/>
      <c r="Q71" s="5"/>
    </row>
    <row r="72" spans="6:17">
      <c r="F72" s="3"/>
      <c r="L72" s="5"/>
      <c r="M72" s="5"/>
      <c r="N72" s="5"/>
      <c r="O72" s="5"/>
      <c r="P72" s="5"/>
      <c r="Q72" s="5"/>
    </row>
    <row r="73" spans="6:17">
      <c r="F73" s="3"/>
      <c r="L73" s="5"/>
      <c r="M73" s="5"/>
      <c r="N73" s="5"/>
      <c r="O73" s="5"/>
      <c r="P73" s="5"/>
      <c r="Q73" s="5"/>
    </row>
    <row r="74" spans="6:17">
      <c r="F74" s="3"/>
      <c r="L74" s="5"/>
      <c r="M74" s="5"/>
      <c r="N74" s="5"/>
      <c r="O74" s="5"/>
      <c r="P74" s="5"/>
      <c r="Q74" s="5"/>
    </row>
    <row r="75" spans="6:17">
      <c r="F75" s="3"/>
      <c r="L75" s="5"/>
      <c r="M75" s="5"/>
      <c r="N75" s="5"/>
      <c r="O75" s="5"/>
      <c r="P75" s="5"/>
      <c r="Q75" s="5"/>
    </row>
    <row r="76" spans="6:17">
      <c r="F76" s="3"/>
      <c r="L76" s="5"/>
      <c r="M76" s="5"/>
      <c r="N76" s="5"/>
      <c r="O76" s="5"/>
      <c r="P76" s="5"/>
      <c r="Q76" s="5"/>
    </row>
    <row r="77" spans="6:17">
      <c r="F77" s="3"/>
      <c r="L77" s="5"/>
      <c r="M77" s="5"/>
      <c r="N77" s="5"/>
      <c r="O77" s="5"/>
      <c r="P77" s="5"/>
      <c r="Q77" s="5"/>
    </row>
    <row r="78" spans="6:17">
      <c r="L78" s="5"/>
      <c r="M78" s="5"/>
      <c r="N78" s="5"/>
      <c r="O78" s="5"/>
      <c r="P78" s="5"/>
      <c r="Q78" s="5"/>
    </row>
    <row r="79" spans="6:17">
      <c r="L79" s="5"/>
      <c r="M79" s="5"/>
      <c r="N79" s="5"/>
      <c r="O79" s="5"/>
      <c r="P79" s="5"/>
      <c r="Q79" s="5"/>
    </row>
    <row r="80" spans="6:17">
      <c r="L80" s="5"/>
      <c r="M80" s="5"/>
      <c r="N80" s="5"/>
      <c r="O80" s="5"/>
      <c r="P80" s="5"/>
      <c r="Q80" s="5"/>
    </row>
    <row r="81" spans="2:17">
      <c r="B81" s="18"/>
      <c r="C81" s="18"/>
      <c r="D81" s="18"/>
      <c r="E81" s="18"/>
      <c r="H81" s="18"/>
      <c r="I81" s="18"/>
      <c r="J81" s="18"/>
      <c r="K81" s="18"/>
      <c r="L81" s="5"/>
      <c r="M81" s="5"/>
      <c r="N81" s="5"/>
      <c r="O81" s="5"/>
      <c r="P81" s="5"/>
      <c r="Q81" s="5"/>
    </row>
    <row r="82" spans="2:17">
      <c r="F82" s="18"/>
      <c r="G82" s="18"/>
    </row>
    <row r="83" spans="2:17">
      <c r="B83" s="18"/>
      <c r="C83" s="18"/>
      <c r="D83" s="18"/>
      <c r="E83" s="18"/>
      <c r="H83" s="18"/>
      <c r="I83" s="18"/>
      <c r="J83" s="18"/>
      <c r="K83" s="18"/>
      <c r="L83" s="18"/>
      <c r="M83" s="18"/>
      <c r="N83" s="18"/>
    </row>
    <row r="84" spans="2:17">
      <c r="F84" s="2" t="s">
        <v>26</v>
      </c>
      <c r="G84" s="2">
        <f>VLOOKUP("하급 오레하 융화 재료",F:G,2,FALSE)</f>
        <v>0</v>
      </c>
    </row>
    <row r="85" spans="2:17">
      <c r="F85" s="2" t="s">
        <v>22</v>
      </c>
      <c r="G85" s="2">
        <f>VLOOKUP("하급 오레하 융화 재료",F:G,2,FALSE)</f>
        <v>0</v>
      </c>
    </row>
    <row r="86" spans="2:17">
      <c r="F86" s="2" t="s">
        <v>29</v>
      </c>
      <c r="G86" s="2">
        <f>VLOOKUP("하급 오레하 융화 재료",F:G,2,FALSE)</f>
        <v>0</v>
      </c>
    </row>
    <row r="87" spans="2:17">
      <c r="F87" s="2" t="s">
        <v>59</v>
      </c>
      <c r="G87" s="2">
        <f>VLOOKUP("중급 오레하 융화 재료",F:G,2,FALSE)</f>
        <v>0</v>
      </c>
    </row>
    <row r="88" spans="2:17">
      <c r="F88" s="2" t="s">
        <v>60</v>
      </c>
      <c r="G88" s="2">
        <f>VLOOKUP("중급 오레하 융화 재료",F:G,2,FALSE)</f>
        <v>0</v>
      </c>
    </row>
    <row r="89" spans="2:17">
      <c r="F89" s="2" t="s">
        <v>61</v>
      </c>
      <c r="G89" s="2">
        <f>VLOOKUP("중급 오레하 융화 재료",F:G,2,FALSE)</f>
        <v>0</v>
      </c>
    </row>
    <row r="90" spans="2:17">
      <c r="F90" s="2" t="s">
        <v>118</v>
      </c>
      <c r="G90" s="2">
        <f>VLOOKUP("상급 오레하 융화 재료",F:G,2,FALSE)</f>
        <v>0</v>
      </c>
    </row>
    <row r="91" spans="2:17">
      <c r="F91" s="2" t="s">
        <v>119</v>
      </c>
      <c r="G91" s="2">
        <f>VLOOKUP("상급 오레하 융화 재료",F:G,2,FALSE)</f>
        <v>0</v>
      </c>
    </row>
    <row r="92" spans="2:17">
      <c r="F92" s="2" t="s">
        <v>120</v>
      </c>
      <c r="G92" s="2">
        <f>VLOOKUP("상급 오레하 융화 재료",F:G,2,FALSE)</f>
        <v>0</v>
      </c>
    </row>
    <row r="99" spans="6:7">
      <c r="F99" s="2" t="s">
        <v>98</v>
      </c>
      <c r="G99" s="2" t="e">
        <f>VLOOKUP("빛나는 정령의 회복약",F:G,2,FALSE)</f>
        <v>#N/A</v>
      </c>
    </row>
    <row r="100" spans="6:7">
      <c r="F100" s="2" t="s">
        <v>99</v>
      </c>
      <c r="G100" s="2" t="e">
        <f>VLOOKUP("빛나는 정령의 회복약",F:G,2,FALSE)</f>
        <v>#N/A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70691-A999-4776-8BD6-CA369A97641A}">
  <sheetPr codeName="Sheet3"/>
  <dimension ref="A1:Q478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20" sqref="C20:C23"/>
    </sheetView>
  </sheetViews>
  <sheetFormatPr defaultColWidth="0" defaultRowHeight="16.5"/>
  <cols>
    <col min="1" max="1" width="30.375" style="1" bestFit="1" customWidth="1"/>
    <col min="2" max="2" width="9" style="4" customWidth="1"/>
    <col min="3" max="3" width="7.25" style="1" customWidth="1"/>
    <col min="4" max="4" width="6.875" style="2" customWidth="1"/>
    <col min="5" max="5" width="9.625" style="8" customWidth="1"/>
    <col min="6" max="6" width="20.625" style="1" bestFit="1" customWidth="1"/>
    <col min="7" max="7" width="9" style="1" customWidth="1"/>
    <col min="8" max="8" width="9" style="2" customWidth="1"/>
    <col min="9" max="9" width="12.375" style="2" bestFit="1" customWidth="1"/>
    <col min="10" max="11" width="8.25" style="2" customWidth="1"/>
    <col min="12" max="12" width="5.25" style="2" bestFit="1" customWidth="1"/>
    <col min="13" max="13" width="5.25" style="2" customWidth="1"/>
    <col min="14" max="14" width="9" style="1" customWidth="1"/>
    <col min="15" max="15" width="15" style="1" bestFit="1" customWidth="1"/>
    <col min="16" max="16" width="15" style="2" customWidth="1"/>
    <col min="17" max="17" width="11" style="1" hidden="1" customWidth="1"/>
    <col min="18" max="16384" width="9" style="1" hidden="1"/>
  </cols>
  <sheetData>
    <row r="1" spans="1:17" ht="17.25" thickBot="1">
      <c r="A1" s="32" t="s">
        <v>38</v>
      </c>
      <c r="B1" s="33" t="s">
        <v>8</v>
      </c>
      <c r="C1" s="33" t="s">
        <v>5</v>
      </c>
      <c r="D1" s="33" t="s">
        <v>116</v>
      </c>
      <c r="E1" s="34" t="s">
        <v>14</v>
      </c>
      <c r="F1" s="33" t="s">
        <v>4</v>
      </c>
      <c r="G1" s="33" t="s">
        <v>109</v>
      </c>
      <c r="H1" s="33" t="s">
        <v>110</v>
      </c>
      <c r="I1" s="33" t="s">
        <v>15</v>
      </c>
      <c r="J1" s="33" t="s">
        <v>107</v>
      </c>
      <c r="K1" s="33" t="s">
        <v>114</v>
      </c>
      <c r="L1" s="33" t="s">
        <v>19</v>
      </c>
      <c r="M1" s="33" t="s">
        <v>105</v>
      </c>
      <c r="N1" s="33" t="s">
        <v>106</v>
      </c>
      <c r="O1" s="35" t="s">
        <v>115</v>
      </c>
      <c r="P1" s="5" t="s">
        <v>130</v>
      </c>
      <c r="Q1" s="1" t="s">
        <v>128</v>
      </c>
    </row>
    <row r="2" spans="1:17">
      <c r="A2" s="165" t="s">
        <v>2</v>
      </c>
      <c r="B2" s="168" t="str">
        <f t="shared" ref="B2:B32" si="0">IFERROR(IF(ISBLANK(A2),"",IF(C2&gt;E2,"제작","구매")),"")</f>
        <v>제작</v>
      </c>
      <c r="C2" s="154" t="str">
        <f>IFERROR(VLOOKUP(A2,'거래소 최저가'!F:G,2,FALSE),"")</f>
        <v/>
      </c>
      <c r="D2" s="154" t="str">
        <f t="shared" ref="D2:D61" si="1">IFERROR(INT(C2*0.05)+1,"")</f>
        <v/>
      </c>
      <c r="E2" s="171">
        <f t="shared" ref="E2:E32" si="2">IFERROR(IF(ISBLANK(A2),"",I2/L2),"")</f>
        <v>0.19599999999991269</v>
      </c>
      <c r="F2" s="80" t="s">
        <v>0</v>
      </c>
      <c r="G2" s="80">
        <v>35</v>
      </c>
      <c r="H2" s="80" t="str">
        <f>IFERROR(IF(F2="실링",G2/2000,IF(F2="골드",INT(G2*(1-0.01*IF(Q2="배틀아이템",검색!$I$22,IF(Q2="요리",검색!$J$22,IF(Q2="특수",검색!$K$22,IF(Q2="생활도구",검색!$L$22,"")))))),VLOOKUP(F2,'거래소 최저가'!A:B,2,FALSE)*G2/VLOOKUP(F2,'거래소 최저가'!A:D,4,FALSE))),"")</f>
        <v/>
      </c>
      <c r="I2" s="154">
        <f>IF(ISBLANK(A2),"",SUM(H2:H$207)-SUM(I3:I$207))</f>
        <v>0.58799999999973807</v>
      </c>
      <c r="J2" s="154">
        <v>1</v>
      </c>
      <c r="K2" s="154">
        <f>IF(J2=1,1,INT(J2*(1-IF(Q2="배틀아이템",검색!$I$23,IF(Q2="요리",검색!$J$23,IF(Q2="특수",검색!$K$23,IF(Q2="생활도구",검색!$L$23))))*0.01)))</f>
        <v>1</v>
      </c>
      <c r="L2" s="154">
        <v>3</v>
      </c>
      <c r="M2" s="154">
        <f>L2*(1+0.01*IF(Q2="배틀아이템",검색!$I$21,IF(Q2="요리",검색!$J$21,IF(Q2="특수",검색!$K$21,IF(Q2="생활도구",검색!$L$21)))))</f>
        <v>3</v>
      </c>
      <c r="N2" s="154" t="str">
        <f t="shared" ref="N2:N61" si="3">IFERROR((((C2-D2)*M2-I2)/K2),"")</f>
        <v/>
      </c>
      <c r="O2" s="150" t="e">
        <f t="shared" ref="O2:O32" si="4">N2*10000</f>
        <v>#VALUE!</v>
      </c>
      <c r="P2" s="186" t="e">
        <f t="shared" ref="P2:P61" si="5">((C2-D2-1)*M2-I2)/K2*10000</f>
        <v>#VALUE!</v>
      </c>
      <c r="Q2" s="72" t="s">
        <v>125</v>
      </c>
    </row>
    <row r="3" spans="1:17">
      <c r="A3" s="175"/>
      <c r="B3" s="169"/>
      <c r="C3" s="155"/>
      <c r="D3" s="155"/>
      <c r="E3" s="172"/>
      <c r="F3" s="81" t="s">
        <v>1</v>
      </c>
      <c r="G3" s="81">
        <v>20</v>
      </c>
      <c r="H3" s="81" t="str">
        <f>IFERROR(IF(F3="실링",G3/2000,IF(F3="골드",INT(G3*(1-0.01*IF(Q3="배틀아이템",검색!$I$22,IF(Q3="요리",검색!$J$22,IF(Q3="특수",검색!$K$22,IF(Q3="생활도구",검색!$L$22,"")))))),VLOOKUP(F3,'거래소 최저가'!A:B,2,FALSE)*G3/VLOOKUP(F3,'거래소 최저가'!A:D,4,FALSE))),"")</f>
        <v/>
      </c>
      <c r="I3" s="155"/>
      <c r="J3" s="155"/>
      <c r="K3" s="155"/>
      <c r="L3" s="155"/>
      <c r="M3" s="155"/>
      <c r="N3" s="155"/>
      <c r="O3" s="151"/>
      <c r="P3" s="187"/>
      <c r="Q3" s="73" t="s">
        <v>125</v>
      </c>
    </row>
    <row r="4" spans="1:17" s="2" customFormat="1" ht="17.25" thickBot="1">
      <c r="A4" s="176"/>
      <c r="B4" s="170"/>
      <c r="C4" s="156"/>
      <c r="D4" s="156"/>
      <c r="E4" s="173"/>
      <c r="F4" s="83" t="s">
        <v>108</v>
      </c>
      <c r="G4" s="83">
        <v>1176</v>
      </c>
      <c r="H4" s="83">
        <f>IFERROR(IF(F4="실링",G4/2000,IF(F4="골드",INT(G4*(1-0.01*IF(Q4="배틀아이템",검색!$I$22,IF(Q4="요리",검색!$J$22,IF(Q4="특수",검색!$K$22,IF(Q4="생활도구",검색!$L$22,"")))))),VLOOKUP(F4,'거래소 최저가'!A:B,2,FALSE)*G4/VLOOKUP(F4,'거래소 최저가'!A:D,4,FALSE))),"")</f>
        <v>0.58799999999999997</v>
      </c>
      <c r="I4" s="156"/>
      <c r="J4" s="156"/>
      <c r="K4" s="156"/>
      <c r="L4" s="156"/>
      <c r="M4" s="156"/>
      <c r="N4" s="156"/>
      <c r="O4" s="152"/>
      <c r="P4" s="188"/>
      <c r="Q4" s="74" t="s">
        <v>124</v>
      </c>
    </row>
    <row r="5" spans="1:17">
      <c r="A5" s="165" t="s">
        <v>37</v>
      </c>
      <c r="B5" s="168" t="str">
        <f t="shared" si="0"/>
        <v>제작</v>
      </c>
      <c r="C5" s="154" t="str">
        <f>IFERROR(VLOOKUP(A5,'거래소 최저가'!F:G,2,FALSE),"")</f>
        <v/>
      </c>
      <c r="D5" s="154" t="str">
        <f t="shared" si="1"/>
        <v/>
      </c>
      <c r="E5" s="171">
        <f t="shared" si="2"/>
        <v>5</v>
      </c>
      <c r="F5" s="80" t="s">
        <v>10</v>
      </c>
      <c r="G5" s="80">
        <v>32</v>
      </c>
      <c r="H5" s="80" t="str">
        <f>IFERROR(IF(F5="실링",G5/2000,IF(F5="골드",INT(G5*(1-0.01*IF(Q5="배틀아이템",검색!$I$22,IF(Q5="요리",검색!$J$22,IF(Q5="특수",검색!$K$22,IF(Q5="생활도구",검색!$L$22,"")))))),VLOOKUP(F5,'거래소 최저가'!A:B,2,FALSE)*G5/VLOOKUP(F5,'거래소 최저가'!A:D,4,FALSE))),"")</f>
        <v/>
      </c>
      <c r="I5" s="154">
        <f>IF(ISBLANK(A5),"",SUM(H5:H$207)-SUM(I6:I$207))</f>
        <v>15</v>
      </c>
      <c r="J5" s="154">
        <v>144</v>
      </c>
      <c r="K5" s="154">
        <f>IF(J5=1,1,INT(J5*(1-IF(Q5="배틀아이템",검색!$I$23,IF(Q5="요리",검색!$J$23,IF(Q5="특수",검색!$K$23,IF(Q5="생활도구",검색!$L$23))))*0.01)))</f>
        <v>144</v>
      </c>
      <c r="L5" s="154">
        <v>3</v>
      </c>
      <c r="M5" s="154">
        <f>L5*(1+0.01*IF(Q5="배틀아이템",검색!$I$21,IF(Q5="요리",검색!$J$21,IF(Q5="특수",검색!$K$21,IF(Q5="생활도구",검색!$L$21)))))</f>
        <v>3</v>
      </c>
      <c r="N5" s="154" t="str">
        <f t="shared" si="3"/>
        <v/>
      </c>
      <c r="O5" s="150" t="e">
        <f t="shared" si="4"/>
        <v>#VALUE!</v>
      </c>
      <c r="P5" s="189" t="e">
        <f t="shared" si="5"/>
        <v>#VALUE!</v>
      </c>
      <c r="Q5" s="66" t="s">
        <v>125</v>
      </c>
    </row>
    <row r="6" spans="1:17">
      <c r="A6" s="175"/>
      <c r="B6" s="169"/>
      <c r="C6" s="155"/>
      <c r="D6" s="155"/>
      <c r="E6" s="172"/>
      <c r="F6" s="81" t="s">
        <v>11</v>
      </c>
      <c r="G6" s="81">
        <v>12</v>
      </c>
      <c r="H6" s="81" t="str">
        <f>IFERROR(IF(F6="실링",G6/2000,IF(F6="골드",INT(G6*(1-0.01*IF(Q6="배틀아이템",검색!$I$22,IF(Q6="요리",검색!$J$22,IF(Q6="특수",검색!$K$22,IF(Q6="생활도구",검색!$L$22,"")))))),VLOOKUP(F6,'거래소 최저가'!A:B,2,FALSE)*G6/VLOOKUP(F6,'거래소 최저가'!A:D,4,FALSE))),"")</f>
        <v/>
      </c>
      <c r="I6" s="155"/>
      <c r="J6" s="155"/>
      <c r="K6" s="155"/>
      <c r="L6" s="155"/>
      <c r="M6" s="155"/>
      <c r="N6" s="155"/>
      <c r="O6" s="151"/>
      <c r="P6" s="187"/>
      <c r="Q6" s="67" t="s">
        <v>124</v>
      </c>
    </row>
    <row r="7" spans="1:17" s="2" customFormat="1">
      <c r="A7" s="175"/>
      <c r="B7" s="169"/>
      <c r="C7" s="155"/>
      <c r="D7" s="155"/>
      <c r="E7" s="172"/>
      <c r="F7" s="81" t="s">
        <v>12</v>
      </c>
      <c r="G7" s="81">
        <v>4</v>
      </c>
      <c r="H7" s="81" t="str">
        <f>IFERROR(IF(F7="실링",G7/2000,IF(F7="골드",INT(G7*(1-0.01*IF(Q7="배틀아이템",검색!$I$22,IF(Q7="요리",검색!$J$22,IF(Q7="특수",검색!$K$22,IF(Q7="생활도구",검색!$L$22,"")))))),VLOOKUP(F7,'거래소 최저가'!A:B,2,FALSE)*G7/VLOOKUP(F7,'거래소 최저가'!A:D,4,FALSE))),"")</f>
        <v/>
      </c>
      <c r="I7" s="155"/>
      <c r="J7" s="155"/>
      <c r="K7" s="155"/>
      <c r="L7" s="155"/>
      <c r="M7" s="155"/>
      <c r="N7" s="155"/>
      <c r="O7" s="151"/>
      <c r="P7" s="187"/>
      <c r="Q7" s="67" t="s">
        <v>124</v>
      </c>
    </row>
    <row r="8" spans="1:17" s="2" customFormat="1">
      <c r="A8" s="175"/>
      <c r="B8" s="169"/>
      <c r="C8" s="155"/>
      <c r="D8" s="155"/>
      <c r="E8" s="172"/>
      <c r="F8" s="81" t="s">
        <v>13</v>
      </c>
      <c r="G8" s="81">
        <v>6</v>
      </c>
      <c r="H8" s="81" t="str">
        <f>IFERROR(IF(F8="실링",G8/2000,IF(F8="골드",INT(G8*(1-0.01*IF(Q8="배틀아이템",검색!$I$22,IF(Q8="요리",검색!$J$22,IF(Q8="특수",검색!$K$22,IF(Q8="생활도구",검색!$L$22,"")))))),VLOOKUP(F8,'거래소 최저가'!A:B,2,FALSE)*G8/VLOOKUP(F8,'거래소 최저가'!A:D,4,FALSE))),"")</f>
        <v/>
      </c>
      <c r="I8" s="155"/>
      <c r="J8" s="155"/>
      <c r="K8" s="155"/>
      <c r="L8" s="155"/>
      <c r="M8" s="155"/>
      <c r="N8" s="155"/>
      <c r="O8" s="151"/>
      <c r="P8" s="187"/>
      <c r="Q8" s="67" t="s">
        <v>124</v>
      </c>
    </row>
    <row r="9" spans="1:17" s="2" customFormat="1" ht="17.25" thickBot="1">
      <c r="A9" s="180"/>
      <c r="B9" s="181"/>
      <c r="C9" s="157"/>
      <c r="D9" s="157"/>
      <c r="E9" s="179"/>
      <c r="F9" s="82" t="s">
        <v>18</v>
      </c>
      <c r="G9" s="82">
        <v>15</v>
      </c>
      <c r="H9" s="82">
        <f>IFERROR(IF(F9="실링",G9/2000,IF(F9="골드",INT(G9*(1-0.01*IF(Q9="배틀아이템",검색!$I$22,IF(Q9="요리",검색!$J$22,IF(Q9="특수",검색!$K$22,IF(Q9="생활도구",검색!$L$22,"")))))),VLOOKUP(F9,'거래소 최저가'!A:B,2,FALSE)*G9/VLOOKUP(F9,'거래소 최저가'!A:D,4,FALSE))),"")</f>
        <v>15</v>
      </c>
      <c r="I9" s="157"/>
      <c r="J9" s="157"/>
      <c r="K9" s="157"/>
      <c r="L9" s="157"/>
      <c r="M9" s="157"/>
      <c r="N9" s="157"/>
      <c r="O9" s="153"/>
      <c r="P9" s="190"/>
      <c r="Q9" s="69" t="s">
        <v>124</v>
      </c>
    </row>
    <row r="10" spans="1:17">
      <c r="A10" s="174" t="s">
        <v>6</v>
      </c>
      <c r="B10" s="177" t="str">
        <f t="shared" si="0"/>
        <v>제작</v>
      </c>
      <c r="C10" s="158" t="str">
        <f>IFERROR(VLOOKUP(A10,'거래소 최저가'!F:G,2,FALSE),"")</f>
        <v/>
      </c>
      <c r="D10" s="158" t="str">
        <f t="shared" si="1"/>
        <v/>
      </c>
      <c r="E10" s="178">
        <f t="shared" si="2"/>
        <v>0.19600000000006426</v>
      </c>
      <c r="F10" s="84" t="s">
        <v>0</v>
      </c>
      <c r="G10" s="84">
        <v>10</v>
      </c>
      <c r="H10" s="84" t="str">
        <f>IFERROR(IF(F10="실링",G10/2000,IF(F10="골드",INT(G10*(1-0.01*IF(Q10="배틀아이템",검색!$I$22,IF(Q10="요리",검색!$J$22,IF(Q10="특수",검색!$K$22,IF(Q10="생활도구",검색!$L$22,"")))))),VLOOKUP(F10,'거래소 최저가'!A:B,2,FALSE)*G10/VLOOKUP(F10,'거래소 최저가'!A:D,4,FALSE))),"")</f>
        <v/>
      </c>
      <c r="I10" s="158">
        <f>IF(ISBLANK(A10),"",SUM(H10:H$207)-SUM(I11:I$207))</f>
        <v>0.58800000000019281</v>
      </c>
      <c r="J10" s="158">
        <v>1</v>
      </c>
      <c r="K10" s="158">
        <f>IF(J10=1,1,INT(J10*(1-IF(Q10="배틀아이템",검색!$I$23,IF(Q10="요리",검색!$J$23,IF(Q10="특수",검색!$K$23,IF(Q10="생활도구",검색!$L$23))))*0.01)))</f>
        <v>1</v>
      </c>
      <c r="L10" s="158">
        <v>3</v>
      </c>
      <c r="M10" s="158">
        <f>L10*(1+0.01*IF(Q10="배틀아이템",검색!$I$21,IF(Q10="요리",검색!$J$21,IF(Q10="특수",검색!$K$21,IF(Q10="생활도구",검색!$L$21)))))</f>
        <v>3</v>
      </c>
      <c r="N10" s="158" t="str">
        <f t="shared" si="3"/>
        <v/>
      </c>
      <c r="O10" s="164" t="e">
        <f t="shared" si="4"/>
        <v>#VALUE!</v>
      </c>
      <c r="P10" s="186" t="e">
        <f t="shared" si="5"/>
        <v>#VALUE!</v>
      </c>
      <c r="Q10" s="66" t="s">
        <v>125</v>
      </c>
    </row>
    <row r="11" spans="1:17">
      <c r="A11" s="175"/>
      <c r="B11" s="169"/>
      <c r="C11" s="155"/>
      <c r="D11" s="155"/>
      <c r="E11" s="172"/>
      <c r="F11" s="81" t="s">
        <v>7</v>
      </c>
      <c r="G11" s="81">
        <v>5</v>
      </c>
      <c r="H11" s="81" t="str">
        <f>IFERROR(IF(F11="실링",G11/2000,IF(F11="골드",INT(G11*(1-0.01*IF(Q11="배틀아이템",검색!$I$22,IF(Q11="요리",검색!$J$22,IF(Q11="특수",검색!$K$22,IF(Q11="생활도구",검색!$L$22,"")))))),VLOOKUP(F11,'거래소 최저가'!A:B,2,FALSE)*G11/VLOOKUP(F11,'거래소 최저가'!A:D,4,FALSE))),"")</f>
        <v/>
      </c>
      <c r="I11" s="155"/>
      <c r="J11" s="155"/>
      <c r="K11" s="155"/>
      <c r="L11" s="155"/>
      <c r="M11" s="155"/>
      <c r="N11" s="155"/>
      <c r="O11" s="151"/>
      <c r="P11" s="187"/>
      <c r="Q11" s="67" t="s">
        <v>125</v>
      </c>
    </row>
    <row r="12" spans="1:17" s="2" customFormat="1" ht="17.25" thickBot="1">
      <c r="A12" s="176"/>
      <c r="B12" s="170"/>
      <c r="C12" s="156"/>
      <c r="D12" s="156"/>
      <c r="E12" s="173"/>
      <c r="F12" s="83" t="s">
        <v>108</v>
      </c>
      <c r="G12" s="83">
        <v>1176</v>
      </c>
      <c r="H12" s="83">
        <f>IFERROR(IF(F12="실링",G12/2000,IF(F12="골드",INT(G12*(1-0.01*IF(Q12="배틀아이템",검색!$I$22,IF(Q12="요리",검색!$J$22,IF(Q12="특수",검색!$K$22,IF(Q12="생활도구",검색!$L$22,"")))))),VLOOKUP(F12,'거래소 최저가'!A:B,2,FALSE)*G12/VLOOKUP(F12,'거래소 최저가'!A:D,4,FALSE))),"")</f>
        <v>0.58799999999999997</v>
      </c>
      <c r="I12" s="156"/>
      <c r="J12" s="156"/>
      <c r="K12" s="156"/>
      <c r="L12" s="156"/>
      <c r="M12" s="156"/>
      <c r="N12" s="156"/>
      <c r="O12" s="152"/>
      <c r="P12" s="190"/>
      <c r="Q12" s="69" t="s">
        <v>125</v>
      </c>
    </row>
    <row r="13" spans="1:17">
      <c r="A13" s="165" t="s">
        <v>9</v>
      </c>
      <c r="B13" s="168" t="str">
        <f t="shared" si="0"/>
        <v>제작</v>
      </c>
      <c r="C13" s="154" t="str">
        <f>IFERROR(VLOOKUP(A13,'거래소 최저가'!F:G,2,FALSE),"")</f>
        <v/>
      </c>
      <c r="D13" s="154" t="str">
        <f t="shared" si="1"/>
        <v/>
      </c>
      <c r="E13" s="171">
        <f t="shared" si="2"/>
        <v>5</v>
      </c>
      <c r="F13" s="80" t="s">
        <v>0</v>
      </c>
      <c r="G13" s="80">
        <v>18</v>
      </c>
      <c r="H13" s="80" t="str">
        <f>IFERROR(IF(F13="실링",G13/2000,IF(F13="골드",INT(G13*(1-0.01*IF(Q13="배틀아이템",검색!$I$22,IF(Q13="요리",검색!$J$22,IF(Q13="특수",검색!$K$22,IF(Q13="생활도구",검색!$L$22,"")))))),VLOOKUP(F13,'거래소 최저가'!A:B,2,FALSE)*G13/VLOOKUP(F13,'거래소 최저가'!A:D,4,FALSE))),"")</f>
        <v/>
      </c>
      <c r="I13" s="154">
        <f>IF(ISBLANK(A13),"",SUM(H13:H$207)-SUM(I14:I$207))</f>
        <v>15</v>
      </c>
      <c r="J13" s="154">
        <v>144</v>
      </c>
      <c r="K13" s="154">
        <f>IF(J13=1,1,INT(J13*(1-IF(Q13="배틀아이템",검색!$I$23,IF(Q13="요리",검색!$J$23,IF(Q13="특수",검색!$K$23,IF(Q13="생활도구",검색!$L$23))))*0.01)))</f>
        <v>144</v>
      </c>
      <c r="L13" s="154">
        <v>3</v>
      </c>
      <c r="M13" s="154">
        <f>L13*(1+0.01*IF(Q13="배틀아이템",검색!$I$21,IF(Q13="요리",검색!$J$21,IF(Q13="특수",검색!$K$21,IF(Q13="생활도구",검색!$L$21)))))</f>
        <v>3</v>
      </c>
      <c r="N13" s="154" t="str">
        <f t="shared" si="3"/>
        <v/>
      </c>
      <c r="O13" s="150" t="e">
        <f t="shared" si="4"/>
        <v>#VALUE!</v>
      </c>
      <c r="P13" s="186" t="e">
        <f t="shared" si="5"/>
        <v>#VALUE!</v>
      </c>
      <c r="Q13" s="66" t="s">
        <v>125</v>
      </c>
    </row>
    <row r="14" spans="1:17">
      <c r="A14" s="175"/>
      <c r="B14" s="169"/>
      <c r="C14" s="155"/>
      <c r="D14" s="155"/>
      <c r="E14" s="172"/>
      <c r="F14" s="81" t="s">
        <v>7</v>
      </c>
      <c r="G14" s="81">
        <v>9</v>
      </c>
      <c r="H14" s="81" t="str">
        <f>IFERROR(IF(F14="실링",G14/2000,IF(F14="골드",INT(G14*(1-0.01*IF(Q14="배틀아이템",검색!$I$22,IF(Q14="요리",검색!$J$22,IF(Q14="특수",검색!$K$22,IF(Q14="생활도구",검색!$L$22,"")))))),VLOOKUP(F14,'거래소 최저가'!A:B,2,FALSE)*G14/VLOOKUP(F14,'거래소 최저가'!A:D,4,FALSE))),"")</f>
        <v/>
      </c>
      <c r="I14" s="155"/>
      <c r="J14" s="155"/>
      <c r="K14" s="155"/>
      <c r="L14" s="155"/>
      <c r="M14" s="155"/>
      <c r="N14" s="155"/>
      <c r="O14" s="151"/>
      <c r="P14" s="187"/>
      <c r="Q14" s="67" t="s">
        <v>125</v>
      </c>
    </row>
    <row r="15" spans="1:17" s="2" customFormat="1" ht="17.25" thickBot="1">
      <c r="A15" s="176"/>
      <c r="B15" s="170"/>
      <c r="C15" s="156"/>
      <c r="D15" s="156"/>
      <c r="E15" s="173"/>
      <c r="F15" s="83" t="s">
        <v>18</v>
      </c>
      <c r="G15" s="83">
        <v>15</v>
      </c>
      <c r="H15" s="83">
        <f>IFERROR(IF(F15="실링",G15/2000,IF(F15="골드",INT(G15*(1-0.01*IF(Q15="배틀아이템",검색!$I$22,IF(Q15="요리",검색!$J$22,IF(Q15="특수",검색!$K$22,IF(Q15="생활도구",검색!$L$22,"")))))),VLOOKUP(F15,'거래소 최저가'!A:B,2,FALSE)*G15/VLOOKUP(F15,'거래소 최저가'!A:D,4,FALSE))),"")</f>
        <v>15</v>
      </c>
      <c r="I15" s="156"/>
      <c r="J15" s="156"/>
      <c r="K15" s="156"/>
      <c r="L15" s="156"/>
      <c r="M15" s="156"/>
      <c r="N15" s="156"/>
      <c r="O15" s="152"/>
      <c r="P15" s="190"/>
      <c r="Q15" s="69" t="s">
        <v>125</v>
      </c>
    </row>
    <row r="16" spans="1:17">
      <c r="A16" s="165" t="s">
        <v>16</v>
      </c>
      <c r="B16" s="168" t="str">
        <f t="shared" si="0"/>
        <v>제작</v>
      </c>
      <c r="C16" s="154" t="str">
        <f>IFERROR(VLOOKUP(A16,'거래소 최저가'!F:G,2,FALSE),"")</f>
        <v/>
      </c>
      <c r="D16" s="154" t="str">
        <f t="shared" si="1"/>
        <v/>
      </c>
      <c r="E16" s="171">
        <f t="shared" si="2"/>
        <v>10</v>
      </c>
      <c r="F16" s="80" t="s">
        <v>0</v>
      </c>
      <c r="G16" s="80">
        <v>48</v>
      </c>
      <c r="H16" s="80" t="str">
        <f>IFERROR(IF(F16="실링",G16/2000,IF(F16="골드",INT(G16*(1-0.01*IF(Q16="배틀아이템",검색!$I$22,IF(Q16="요리",검색!$J$22,IF(Q16="특수",검색!$K$22,IF(Q16="생활도구",검색!$L$22,"")))))),VLOOKUP(F16,'거래소 최저가'!A:B,2,FALSE)*G16/VLOOKUP(F16,'거래소 최저가'!A:D,4,FALSE))),"")</f>
        <v/>
      </c>
      <c r="I16" s="154">
        <f>IF(ISBLANK(A16),"",SUM(H16:H$207)-SUM(I17:I$207))</f>
        <v>30</v>
      </c>
      <c r="J16" s="154">
        <v>288</v>
      </c>
      <c r="K16" s="154">
        <f>IF(J16=1,1,INT(J16*(1-IF(Q16="배틀아이템",검색!$I$23,IF(Q16="요리",검색!$J$23,IF(Q16="특수",검색!$K$23,IF(Q16="생활도구",검색!$L$23))))*0.01)))</f>
        <v>288</v>
      </c>
      <c r="L16" s="154">
        <v>3</v>
      </c>
      <c r="M16" s="154">
        <f>L16*(1+0.01*IF(Q16="배틀아이템",검색!$I$21,IF(Q16="요리",검색!$J$21,IF(Q16="특수",검색!$K$21,IF(Q16="생활도구",검색!$L$21)))))</f>
        <v>3</v>
      </c>
      <c r="N16" s="154" t="str">
        <f t="shared" si="3"/>
        <v/>
      </c>
      <c r="O16" s="150" t="e">
        <f t="shared" si="4"/>
        <v>#VALUE!</v>
      </c>
      <c r="P16" s="186" t="e">
        <f t="shared" si="5"/>
        <v>#VALUE!</v>
      </c>
      <c r="Q16" s="66" t="s">
        <v>125</v>
      </c>
    </row>
    <row r="17" spans="1:17">
      <c r="A17" s="175"/>
      <c r="B17" s="169"/>
      <c r="C17" s="155"/>
      <c r="D17" s="155"/>
      <c r="E17" s="172"/>
      <c r="F17" s="81" t="s">
        <v>7</v>
      </c>
      <c r="G17" s="81">
        <v>54</v>
      </c>
      <c r="H17" s="81" t="str">
        <f>IFERROR(IF(F17="실링",G17/2000,IF(F17="골드",INT(G17*(1-0.01*IF(Q17="배틀아이템",검색!$I$22,IF(Q17="요리",검색!$J$22,IF(Q17="특수",검색!$K$22,IF(Q17="생활도구",검색!$L$22,"")))))),VLOOKUP(F17,'거래소 최저가'!A:B,2,FALSE)*G17/VLOOKUP(F17,'거래소 최저가'!A:D,4,FALSE))),"")</f>
        <v/>
      </c>
      <c r="I17" s="155"/>
      <c r="J17" s="155"/>
      <c r="K17" s="155"/>
      <c r="L17" s="155"/>
      <c r="M17" s="155"/>
      <c r="N17" s="155"/>
      <c r="O17" s="151"/>
      <c r="P17" s="187"/>
      <c r="Q17" s="67" t="s">
        <v>125</v>
      </c>
    </row>
    <row r="18" spans="1:17">
      <c r="A18" s="175"/>
      <c r="B18" s="169"/>
      <c r="C18" s="155"/>
      <c r="D18" s="155"/>
      <c r="E18" s="172"/>
      <c r="F18" s="81" t="s">
        <v>17</v>
      </c>
      <c r="G18" s="81">
        <v>6</v>
      </c>
      <c r="H18" s="81" t="str">
        <f>IFERROR(IF(F18="실링",G18/2000,IF(F18="골드",INT(G18*(1-0.01*IF(Q18="배틀아이템",검색!$I$22,IF(Q18="요리",검색!$J$22,IF(Q18="특수",검색!$K$22,IF(Q18="생활도구",검색!$L$22,"")))))),VLOOKUP(F18,'거래소 최저가'!A:B,2,FALSE)*G18/VLOOKUP(F18,'거래소 최저가'!A:D,4,FALSE))),"")</f>
        <v/>
      </c>
      <c r="I18" s="155"/>
      <c r="J18" s="155"/>
      <c r="K18" s="155"/>
      <c r="L18" s="155"/>
      <c r="M18" s="155"/>
      <c r="N18" s="155"/>
      <c r="O18" s="151"/>
      <c r="P18" s="187"/>
      <c r="Q18" s="67" t="s">
        <v>125</v>
      </c>
    </row>
    <row r="19" spans="1:17" ht="17.25" thickBot="1">
      <c r="A19" s="176"/>
      <c r="B19" s="170"/>
      <c r="C19" s="156"/>
      <c r="D19" s="156"/>
      <c r="E19" s="173"/>
      <c r="F19" s="83" t="s">
        <v>18</v>
      </c>
      <c r="G19" s="83">
        <v>30</v>
      </c>
      <c r="H19" s="83">
        <f>IFERROR(IF(F19="실링",G19/2000,IF(F19="골드",INT(G19*(1-0.01*IF(Q19="배틀아이템",검색!$I$22,IF(Q19="요리",검색!$J$22,IF(Q19="특수",검색!$K$22,IF(Q19="생활도구",검색!$L$22,"")))))),VLOOKUP(F19,'거래소 최저가'!A:B,2,FALSE)*G19/VLOOKUP(F19,'거래소 최저가'!A:D,4,FALSE))),"")</f>
        <v>30</v>
      </c>
      <c r="I19" s="156"/>
      <c r="J19" s="156"/>
      <c r="K19" s="156"/>
      <c r="L19" s="156"/>
      <c r="M19" s="156"/>
      <c r="N19" s="156"/>
      <c r="O19" s="152"/>
      <c r="P19" s="190"/>
      <c r="Q19" s="69" t="s">
        <v>125</v>
      </c>
    </row>
    <row r="20" spans="1:17">
      <c r="A20" s="165" t="s">
        <v>22</v>
      </c>
      <c r="B20" s="168" t="str">
        <f t="shared" si="0"/>
        <v>구매</v>
      </c>
      <c r="C20" s="154">
        <f>IFERROR(VLOOKUP(A20,'거래소 최저가'!F:G,2,FALSE),"")</f>
        <v>0</v>
      </c>
      <c r="D20" s="154">
        <f t="shared" si="1"/>
        <v>1</v>
      </c>
      <c r="E20" s="171">
        <f t="shared" si="2"/>
        <v>6.7666666666666666</v>
      </c>
      <c r="F20" s="80" t="s">
        <v>23</v>
      </c>
      <c r="G20" s="80">
        <v>72</v>
      </c>
      <c r="H20" s="80" t="str">
        <f>IFERROR(IF(F20="실링",G20/2000,IF(F20="골드",INT(G20*(1-0.01*IF(Q20="배틀아이템",검색!$I$22,IF(Q20="요리",검색!$J$22,IF(Q20="특수",검색!$K$22,IF(Q20="생활도구",검색!$L$22,"")))))),VLOOKUP(F20,'거래소 최저가'!A:B,2,FALSE)*G20/VLOOKUP(F20,'거래소 최저가'!A:D,4,FALSE))),"")</f>
        <v/>
      </c>
      <c r="I20" s="154">
        <f>IF(ISBLANK(A20),"",SUM(H20:H$207)-SUM(I21:I$207))</f>
        <v>203</v>
      </c>
      <c r="J20" s="154">
        <v>144</v>
      </c>
      <c r="K20" s="154">
        <f>IF(J20=1,1,INT(J20*(1-IF(Q20="배틀아이템",검색!$I$23,IF(Q20="요리",검색!$J$23,IF(Q20="특수",검색!$K$23,IF(Q20="생활도구",검색!$L$23))))*0.01)))</f>
        <v>144</v>
      </c>
      <c r="L20" s="154">
        <v>30</v>
      </c>
      <c r="M20" s="154">
        <f>L20*(1+0.01*IF(Q20="배틀아이템",검색!$I$21,IF(Q20="요리",검색!$J$21,IF(Q20="특수",검색!$K$21,IF(Q20="생활도구",검색!$L$21)))))</f>
        <v>30</v>
      </c>
      <c r="N20" s="154">
        <f t="shared" si="3"/>
        <v>-1.6180555555555556</v>
      </c>
      <c r="O20" s="150">
        <f t="shared" si="4"/>
        <v>-16180.555555555557</v>
      </c>
      <c r="P20" s="186">
        <f t="shared" si="5"/>
        <v>-18263.888888888887</v>
      </c>
      <c r="Q20" s="66" t="s">
        <v>127</v>
      </c>
    </row>
    <row r="21" spans="1:17" s="5" customFormat="1">
      <c r="A21" s="175"/>
      <c r="B21" s="169"/>
      <c r="C21" s="155"/>
      <c r="D21" s="155"/>
      <c r="E21" s="172"/>
      <c r="F21" s="81" t="s">
        <v>24</v>
      </c>
      <c r="G21" s="81">
        <v>9</v>
      </c>
      <c r="H21" s="81" t="str">
        <f>IFERROR(IF(F21="실링",G21/2000,IF(F21="골드",INT(G21*(1-0.01*IF(Q21="배틀아이템",검색!$I$22,IF(Q21="요리",검색!$J$22,IF(Q21="특수",검색!$K$22,IF(Q21="생활도구",검색!$L$22,"")))))),VLOOKUP(F21,'거래소 최저가'!A:B,2,FALSE)*G21/VLOOKUP(F21,'거래소 최저가'!A:D,4,FALSE))),"")</f>
        <v/>
      </c>
      <c r="I21" s="155"/>
      <c r="J21" s="155"/>
      <c r="K21" s="155"/>
      <c r="L21" s="155"/>
      <c r="M21" s="155"/>
      <c r="N21" s="155"/>
      <c r="O21" s="151"/>
      <c r="P21" s="187"/>
      <c r="Q21" s="67" t="s">
        <v>127</v>
      </c>
    </row>
    <row r="22" spans="1:17" s="5" customFormat="1">
      <c r="A22" s="175"/>
      <c r="B22" s="169"/>
      <c r="C22" s="155"/>
      <c r="D22" s="155"/>
      <c r="E22" s="172"/>
      <c r="F22" s="81" t="s">
        <v>25</v>
      </c>
      <c r="G22" s="81">
        <v>36</v>
      </c>
      <c r="H22" s="81" t="str">
        <f>IFERROR(IF(F22="실링",G22/2000,IF(F22="골드",INT(G22*(1-0.01*IF(Q22="배틀아이템",검색!$I$22,IF(Q22="요리",검색!$J$22,IF(Q22="특수",검색!$K$22,IF(Q22="생활도구",검색!$L$22,"")))))),VLOOKUP(F22,'거래소 최저가'!A:B,2,FALSE)*G22/VLOOKUP(F22,'거래소 최저가'!A:D,4,FALSE))),"")</f>
        <v/>
      </c>
      <c r="I22" s="155"/>
      <c r="J22" s="155"/>
      <c r="K22" s="155"/>
      <c r="L22" s="155"/>
      <c r="M22" s="155"/>
      <c r="N22" s="155"/>
      <c r="O22" s="151"/>
      <c r="P22" s="187"/>
      <c r="Q22" s="67" t="s">
        <v>127</v>
      </c>
    </row>
    <row r="23" spans="1:17" s="5" customFormat="1" ht="17.25" thickBot="1">
      <c r="A23" s="180"/>
      <c r="B23" s="181"/>
      <c r="C23" s="157"/>
      <c r="D23" s="157"/>
      <c r="E23" s="179"/>
      <c r="F23" s="82" t="s">
        <v>18</v>
      </c>
      <c r="G23" s="82">
        <v>203</v>
      </c>
      <c r="H23" s="82">
        <f>IFERROR(IF(F23="실링",G23/2000,IF(F23="골드",INT(G23*(1-0.01*IF(Q23="배틀아이템",검색!$I$22,IF(Q23="요리",검색!$J$22,IF(Q23="특수",검색!$K$22,IF(Q23="생활도구",검색!$L$22,"")))))),VLOOKUP(F23,'거래소 최저가'!A:B,2,FALSE)*G23/VLOOKUP(F23,'거래소 최저가'!A:D,4,FALSE))),"")</f>
        <v>203</v>
      </c>
      <c r="I23" s="157"/>
      <c r="J23" s="157"/>
      <c r="K23" s="157"/>
      <c r="L23" s="157"/>
      <c r="M23" s="157"/>
      <c r="N23" s="157"/>
      <c r="O23" s="153"/>
      <c r="P23" s="190"/>
      <c r="Q23" s="69" t="s">
        <v>127</v>
      </c>
    </row>
    <row r="24" spans="1:17" s="5" customFormat="1">
      <c r="A24" s="174" t="s">
        <v>26</v>
      </c>
      <c r="B24" s="177" t="str">
        <f t="shared" si="0"/>
        <v>구매</v>
      </c>
      <c r="C24" s="158">
        <f>IFERROR(VLOOKUP(A24,'거래소 최저가'!F:G,2,FALSE),"")</f>
        <v>0</v>
      </c>
      <c r="D24" s="159">
        <f t="shared" si="1"/>
        <v>1</v>
      </c>
      <c r="E24" s="178">
        <f t="shared" si="2"/>
        <v>6.7666666666666666</v>
      </c>
      <c r="F24" s="84" t="s">
        <v>27</v>
      </c>
      <c r="G24" s="84">
        <v>72</v>
      </c>
      <c r="H24" s="84" t="str">
        <f>IFERROR(IF(F24="실링",G24/2000,IF(F24="골드",INT(G24*(1-0.01*IF(Q24="배틀아이템",검색!$I$22,IF(Q24="요리",검색!$J$22,IF(Q24="특수",검색!$K$22,IF(Q24="생활도구",검색!$L$22,"")))))),VLOOKUP(F24,'거래소 최저가'!A:B,2,FALSE)*G24/VLOOKUP(F24,'거래소 최저가'!A:D,4,FALSE))),"")</f>
        <v/>
      </c>
      <c r="I24" s="158">
        <f>IF(ISBLANK(A24),"",SUM(H24:H$207)-SUM(I25:I$207))</f>
        <v>203</v>
      </c>
      <c r="J24" s="158">
        <v>144</v>
      </c>
      <c r="K24" s="158">
        <f>IF(J24=1,1,INT(J24*(1-IF(Q24="배틀아이템",검색!$I$23,IF(Q24="요리",검색!$J$23,IF(Q24="특수",검색!$K$23,IF(Q24="생활도구",검색!$L$23))))*0.01)))</f>
        <v>144</v>
      </c>
      <c r="L24" s="158">
        <v>30</v>
      </c>
      <c r="M24" s="158">
        <f>L24*(1+0.01*IF(Q24="배틀아이템",검색!$I$21,IF(Q24="요리",검색!$J$21,IF(Q24="특수",검색!$K$21,IF(Q24="생활도구",검색!$L$21)))))</f>
        <v>30</v>
      </c>
      <c r="N24" s="158">
        <f t="shared" si="3"/>
        <v>-1.6180555555555556</v>
      </c>
      <c r="O24" s="164">
        <f t="shared" si="4"/>
        <v>-16180.555555555557</v>
      </c>
      <c r="P24" s="150">
        <f t="shared" si="5"/>
        <v>-18263.888888888887</v>
      </c>
      <c r="Q24" s="66" t="s">
        <v>127</v>
      </c>
    </row>
    <row r="25" spans="1:17" s="5" customFormat="1">
      <c r="A25" s="175"/>
      <c r="B25" s="169"/>
      <c r="C25" s="155"/>
      <c r="D25" s="159"/>
      <c r="E25" s="172"/>
      <c r="F25" s="37" t="s">
        <v>28</v>
      </c>
      <c r="G25" s="37">
        <v>9</v>
      </c>
      <c r="H25" s="37" t="str">
        <f>IFERROR(IF(F25="실링",G25/2000,IF(F25="골드",INT(G25*(1-0.01*IF(Q25="배틀아이템",검색!$I$22,IF(Q25="요리",검색!$J$22,IF(Q25="특수",검색!$K$22,IF(Q25="생활도구",검색!$L$22,"")))))),VLOOKUP(F25,'거래소 최저가'!A:B,2,FALSE)*G25/VLOOKUP(F25,'거래소 최저가'!A:D,4,FALSE))),"")</f>
        <v/>
      </c>
      <c r="I25" s="155"/>
      <c r="J25" s="155"/>
      <c r="K25" s="155"/>
      <c r="L25" s="155"/>
      <c r="M25" s="155"/>
      <c r="N25" s="155"/>
      <c r="O25" s="151"/>
      <c r="P25" s="151"/>
      <c r="Q25" s="67" t="s">
        <v>127</v>
      </c>
    </row>
    <row r="26" spans="1:17" s="5" customFormat="1">
      <c r="A26" s="175"/>
      <c r="B26" s="169"/>
      <c r="C26" s="155"/>
      <c r="D26" s="159"/>
      <c r="E26" s="172"/>
      <c r="F26" s="37" t="s">
        <v>1</v>
      </c>
      <c r="G26" s="37">
        <v>36</v>
      </c>
      <c r="H26" s="37" t="str">
        <f>IFERROR(IF(F26="실링",G26/2000,IF(F26="골드",INT(G26*(1-0.01*IF(Q26="배틀아이템",검색!$I$22,IF(Q26="요리",검색!$J$22,IF(Q26="특수",검색!$K$22,IF(Q26="생활도구",검색!$L$22,"")))))),VLOOKUP(F26,'거래소 최저가'!A:B,2,FALSE)*G26/VLOOKUP(F26,'거래소 최저가'!A:D,4,FALSE))),"")</f>
        <v/>
      </c>
      <c r="I26" s="155"/>
      <c r="J26" s="155"/>
      <c r="K26" s="155"/>
      <c r="L26" s="155"/>
      <c r="M26" s="155"/>
      <c r="N26" s="155"/>
      <c r="O26" s="151"/>
      <c r="P26" s="151"/>
      <c r="Q26" s="67" t="s">
        <v>127</v>
      </c>
    </row>
    <row r="27" spans="1:17" s="5" customFormat="1" ht="17.25" thickBot="1">
      <c r="A27" s="176"/>
      <c r="B27" s="170"/>
      <c r="C27" s="156"/>
      <c r="D27" s="160"/>
      <c r="E27" s="173"/>
      <c r="F27" s="38" t="s">
        <v>18</v>
      </c>
      <c r="G27" s="38">
        <v>203</v>
      </c>
      <c r="H27" s="38">
        <f>IFERROR(IF(F27="실링",G27/2000,IF(F27="골드",INT(G27*(1-0.01*IF(Q27="배틀아이템",검색!$I$22,IF(Q27="요리",검색!$J$22,IF(Q27="특수",검색!$K$22,IF(Q27="생활도구",검색!$L$22,"")))))),VLOOKUP(F27,'거래소 최저가'!A:B,2,FALSE)*G27/VLOOKUP(F27,'거래소 최저가'!A:D,4,FALSE))),"")</f>
        <v>203</v>
      </c>
      <c r="I27" s="156"/>
      <c r="J27" s="156"/>
      <c r="K27" s="156"/>
      <c r="L27" s="156"/>
      <c r="M27" s="156"/>
      <c r="N27" s="156"/>
      <c r="O27" s="152"/>
      <c r="P27" s="152"/>
      <c r="Q27" s="69" t="s">
        <v>127</v>
      </c>
    </row>
    <row r="28" spans="1:17" s="5" customFormat="1">
      <c r="A28" s="165" t="s">
        <v>29</v>
      </c>
      <c r="B28" s="168" t="str">
        <f t="shared" si="0"/>
        <v>구매</v>
      </c>
      <c r="C28" s="154">
        <f>IFERROR(VLOOKUP(A28,'거래소 최저가'!F:G,2,FALSE),"")</f>
        <v>0</v>
      </c>
      <c r="D28" s="161">
        <f t="shared" si="1"/>
        <v>1</v>
      </c>
      <c r="E28" s="171">
        <f t="shared" si="2"/>
        <v>6.7666666666666666</v>
      </c>
      <c r="F28" s="36" t="s">
        <v>30</v>
      </c>
      <c r="G28" s="36">
        <v>56</v>
      </c>
      <c r="H28" s="36" t="str">
        <f>IFERROR(IF(F28="실링",G28/2000,IF(F28="골드",INT(G28*(1-0.01*IF(Q28="배틀아이템",검색!$I$22,IF(Q28="요리",검색!$J$22,IF(Q28="특수",검색!$K$22,IF(Q28="생활도구",검색!$L$22,"")))))),VLOOKUP(F28,'거래소 최저가'!A:B,2,FALSE)*G28/VLOOKUP(F28,'거래소 최저가'!A:D,4,FALSE))),"")</f>
        <v/>
      </c>
      <c r="I28" s="154">
        <f>IF(ISBLANK(A28),"",SUM(H28:H$207)-SUM(I29:I$207))</f>
        <v>203</v>
      </c>
      <c r="J28" s="154">
        <v>144</v>
      </c>
      <c r="K28" s="154">
        <f>IF(J28=1,1,INT(J28*(1-IF(Q28="배틀아이템",검색!$I$23,IF(Q28="요리",검색!$J$23,IF(Q28="특수",검색!$K$23,IF(Q28="생활도구",검색!$L$23))))*0.01)))</f>
        <v>144</v>
      </c>
      <c r="L28" s="154">
        <v>30</v>
      </c>
      <c r="M28" s="154">
        <f>L28*(1+0.01*IF(Q28="배틀아이템",검색!$I$21,IF(Q28="요리",검색!$J$21,IF(Q28="특수",검색!$K$21,IF(Q28="생활도구",검색!$L$21)))))</f>
        <v>30</v>
      </c>
      <c r="N28" s="154">
        <f t="shared" si="3"/>
        <v>-1.6180555555555556</v>
      </c>
      <c r="O28" s="150">
        <f t="shared" si="4"/>
        <v>-16180.555555555557</v>
      </c>
      <c r="P28" s="150">
        <f t="shared" si="5"/>
        <v>-18263.888888888887</v>
      </c>
      <c r="Q28" s="66" t="s">
        <v>127</v>
      </c>
    </row>
    <row r="29" spans="1:17" s="5" customFormat="1">
      <c r="A29" s="175"/>
      <c r="B29" s="169"/>
      <c r="C29" s="155"/>
      <c r="D29" s="159"/>
      <c r="E29" s="172"/>
      <c r="F29" s="37" t="s">
        <v>31</v>
      </c>
      <c r="G29" s="37">
        <v>28</v>
      </c>
      <c r="H29" s="37" t="str">
        <f>IFERROR(IF(F29="실링",G29/2000,IF(F29="골드",INT(G29*(1-0.01*IF(Q29="배틀아이템",검색!$I$22,IF(Q29="요리",검색!$J$22,IF(Q29="특수",검색!$K$22,IF(Q29="생활도구",검색!$L$22,"")))))),VLOOKUP(F29,'거래소 최저가'!A:B,2,FALSE)*G29/VLOOKUP(F29,'거래소 최저가'!A:D,4,FALSE))),"")</f>
        <v/>
      </c>
      <c r="I29" s="155"/>
      <c r="J29" s="155"/>
      <c r="K29" s="155"/>
      <c r="L29" s="155"/>
      <c r="M29" s="155"/>
      <c r="N29" s="155"/>
      <c r="O29" s="151"/>
      <c r="P29" s="151"/>
      <c r="Q29" s="67" t="s">
        <v>127</v>
      </c>
    </row>
    <row r="30" spans="1:17" s="5" customFormat="1">
      <c r="A30" s="175"/>
      <c r="B30" s="169"/>
      <c r="C30" s="155"/>
      <c r="D30" s="159"/>
      <c r="E30" s="172"/>
      <c r="F30" s="37" t="s">
        <v>32</v>
      </c>
      <c r="G30" s="37">
        <v>7</v>
      </c>
      <c r="H30" s="37" t="str">
        <f>IFERROR(IF(F30="실링",G30/2000,IF(F30="골드",INT(G30*(1-0.01*IF(Q30="배틀아이템",검색!$I$22,IF(Q30="요리",검색!$J$22,IF(Q30="특수",검색!$K$22,IF(Q30="생활도구",검색!$L$22,"")))))),VLOOKUP(F30,'거래소 최저가'!A:B,2,FALSE)*G30/VLOOKUP(F30,'거래소 최저가'!A:D,4,FALSE))),"")</f>
        <v/>
      </c>
      <c r="I30" s="155"/>
      <c r="J30" s="155"/>
      <c r="K30" s="155"/>
      <c r="L30" s="155"/>
      <c r="M30" s="155"/>
      <c r="N30" s="155"/>
      <c r="O30" s="151"/>
      <c r="P30" s="151"/>
      <c r="Q30" s="67" t="s">
        <v>127</v>
      </c>
    </row>
    <row r="31" spans="1:17" s="5" customFormat="1" ht="17.25" thickBot="1">
      <c r="A31" s="176"/>
      <c r="B31" s="170"/>
      <c r="C31" s="156"/>
      <c r="D31" s="160"/>
      <c r="E31" s="173"/>
      <c r="F31" s="38" t="s">
        <v>18</v>
      </c>
      <c r="G31" s="38">
        <v>203</v>
      </c>
      <c r="H31" s="38">
        <f>IFERROR(IF(F31="실링",G31/2000,IF(F31="골드",INT(G31*(1-0.01*IF(Q31="배틀아이템",검색!$I$22,IF(Q31="요리",검색!$J$22,IF(Q31="특수",검색!$K$22,IF(Q31="생활도구",검색!$L$22,"")))))),VLOOKUP(F31,'거래소 최저가'!A:B,2,FALSE)*G31/VLOOKUP(F31,'거래소 최저가'!A:D,4,FALSE))),"")</f>
        <v>203</v>
      </c>
      <c r="I31" s="156"/>
      <c r="J31" s="156"/>
      <c r="K31" s="156"/>
      <c r="L31" s="156"/>
      <c r="M31" s="156"/>
      <c r="N31" s="156"/>
      <c r="O31" s="152"/>
      <c r="P31" s="152"/>
      <c r="Q31" s="69" t="s">
        <v>127</v>
      </c>
    </row>
    <row r="32" spans="1:17" s="5" customFormat="1">
      <c r="A32" s="165" t="s">
        <v>33</v>
      </c>
      <c r="B32" s="168" t="str">
        <f t="shared" si="0"/>
        <v>구매</v>
      </c>
      <c r="C32" s="154">
        <f>IFERROR(VLOOKUP(A32,'거래소 최저가'!F:G,2,FALSE),"")</f>
        <v>0</v>
      </c>
      <c r="D32" s="161">
        <f t="shared" si="1"/>
        <v>1</v>
      </c>
      <c r="E32" s="171">
        <f t="shared" si="2"/>
        <v>6.833333333333333</v>
      </c>
      <c r="F32" s="36" t="s">
        <v>23</v>
      </c>
      <c r="G32" s="36">
        <v>80</v>
      </c>
      <c r="H32" s="36" t="str">
        <f>IFERROR(IF(F32="실링",G32/2000,IF(F32="골드",INT(G32*(1-0.01*IF(Q32="배틀아이템",검색!$I$22,IF(Q32="요리",검색!$J$22,IF(Q32="특수",검색!$K$22,IF(Q32="생활도구",검색!$L$22,"")))))),VLOOKUP(F32,'거래소 최저가'!A:B,2,FALSE)*G32/VLOOKUP(F32,'거래소 최저가'!A:D,4,FALSE))),"")</f>
        <v/>
      </c>
      <c r="I32" s="154">
        <f>IF(ISBLANK(A32),"",SUM(H32:H$207)-SUM(I33:I$207))</f>
        <v>205</v>
      </c>
      <c r="J32" s="154">
        <v>216</v>
      </c>
      <c r="K32" s="154">
        <f>IF(J32=1,1,INT(J32*(1-IF(Q32="배틀아이템",검색!$I$23,IF(Q32="요리",검색!$J$23,IF(Q32="특수",검색!$K$23,IF(Q32="생활도구",검색!$L$23))))*0.01)))</f>
        <v>216</v>
      </c>
      <c r="L32" s="154">
        <v>30</v>
      </c>
      <c r="M32" s="154">
        <f>L32*(1+0.01*IF(Q32="배틀아이템",검색!$I$21,IF(Q32="요리",검색!$J$21,IF(Q32="특수",검색!$K$21,IF(Q32="생활도구",검색!$L$21)))))</f>
        <v>30</v>
      </c>
      <c r="N32" s="154">
        <f t="shared" si="3"/>
        <v>-1.087962962962963</v>
      </c>
      <c r="O32" s="150">
        <f t="shared" si="4"/>
        <v>-10879.62962962963</v>
      </c>
      <c r="P32" s="150">
        <f t="shared" si="5"/>
        <v>-12268.518518518518</v>
      </c>
      <c r="Q32" s="66" t="s">
        <v>127</v>
      </c>
    </row>
    <row r="33" spans="1:17" s="5" customFormat="1">
      <c r="A33" s="175"/>
      <c r="B33" s="169"/>
      <c r="C33" s="155"/>
      <c r="D33" s="159"/>
      <c r="E33" s="172"/>
      <c r="F33" s="37" t="s">
        <v>24</v>
      </c>
      <c r="G33" s="37">
        <v>10</v>
      </c>
      <c r="H33" s="37" t="str">
        <f>IFERROR(IF(F33="실링",G33/2000,IF(F33="골드",INT(G33*(1-0.01*IF(Q33="배틀아이템",검색!$I$22,IF(Q33="요리",검색!$J$22,IF(Q33="특수",검색!$K$22,IF(Q33="생활도구",검색!$L$22,"")))))),VLOOKUP(F33,'거래소 최저가'!A:B,2,FALSE)*G33/VLOOKUP(F33,'거래소 최저가'!A:D,4,FALSE))),"")</f>
        <v/>
      </c>
      <c r="I33" s="155"/>
      <c r="J33" s="155"/>
      <c r="K33" s="155"/>
      <c r="L33" s="155"/>
      <c r="M33" s="155"/>
      <c r="N33" s="155"/>
      <c r="O33" s="151"/>
      <c r="P33" s="151"/>
      <c r="Q33" s="67" t="s">
        <v>127</v>
      </c>
    </row>
    <row r="34" spans="1:17" s="5" customFormat="1">
      <c r="A34" s="175"/>
      <c r="B34" s="169"/>
      <c r="C34" s="155"/>
      <c r="D34" s="159"/>
      <c r="E34" s="172"/>
      <c r="F34" s="37" t="s">
        <v>25</v>
      </c>
      <c r="G34" s="37">
        <v>40</v>
      </c>
      <c r="H34" s="37" t="str">
        <f>IFERROR(IF(F34="실링",G34/2000,IF(F34="골드",INT(G34*(1-0.01*IF(Q34="배틀아이템",검색!$I$22,IF(Q34="요리",검색!$J$22,IF(Q34="특수",검색!$K$22,IF(Q34="생활도구",검색!$L$22,"")))))),VLOOKUP(F34,'거래소 최저가'!A:B,2,FALSE)*G34/VLOOKUP(F34,'거래소 최저가'!A:D,4,FALSE))),"")</f>
        <v/>
      </c>
      <c r="I34" s="155"/>
      <c r="J34" s="155"/>
      <c r="K34" s="155"/>
      <c r="L34" s="155"/>
      <c r="M34" s="155"/>
      <c r="N34" s="155"/>
      <c r="O34" s="151"/>
      <c r="P34" s="151"/>
      <c r="Q34" s="67" t="s">
        <v>127</v>
      </c>
    </row>
    <row r="35" spans="1:17" s="5" customFormat="1" ht="17.25" thickBot="1">
      <c r="A35" s="176"/>
      <c r="B35" s="170"/>
      <c r="C35" s="156"/>
      <c r="D35" s="160"/>
      <c r="E35" s="173"/>
      <c r="F35" s="38" t="s">
        <v>18</v>
      </c>
      <c r="G35" s="38">
        <v>205</v>
      </c>
      <c r="H35" s="38">
        <f>IFERROR(IF(F35="실링",G35/2000,IF(F35="골드",INT(G35*(1-0.01*IF(Q35="배틀아이템",검색!$I$22,IF(Q35="요리",검색!$J$22,IF(Q35="특수",검색!$K$22,IF(Q35="생활도구",검색!$L$22,"")))))),VLOOKUP(F35,'거래소 최저가'!A:B,2,FALSE)*G35/VLOOKUP(F35,'거래소 최저가'!A:D,4,FALSE))),"")</f>
        <v>205</v>
      </c>
      <c r="I35" s="156"/>
      <c r="J35" s="156"/>
      <c r="K35" s="156"/>
      <c r="L35" s="156"/>
      <c r="M35" s="156"/>
      <c r="N35" s="156"/>
      <c r="O35" s="152"/>
      <c r="P35" s="152"/>
      <c r="Q35" s="69" t="s">
        <v>127</v>
      </c>
    </row>
    <row r="36" spans="1:17" s="5" customFormat="1">
      <c r="A36" s="165" t="s">
        <v>34</v>
      </c>
      <c r="B36" s="168" t="str">
        <f t="shared" ref="B36:B75" si="6">IFERROR(IF(ISBLANK(A36),"",IF(C36&gt;E36,"제작","구매")),"")</f>
        <v>구매</v>
      </c>
      <c r="C36" s="154">
        <f>IFERROR(VLOOKUP(A36,'거래소 최저가'!F:G,2,FALSE),"")</f>
        <v>0</v>
      </c>
      <c r="D36" s="161">
        <f t="shared" si="1"/>
        <v>1</v>
      </c>
      <c r="E36" s="171">
        <f t="shared" ref="E36:E75" si="7">IFERROR(IF(ISBLANK(A36),"",I36/L36),"")</f>
        <v>6.833333333333333</v>
      </c>
      <c r="F36" s="36" t="s">
        <v>27</v>
      </c>
      <c r="G36" s="36">
        <v>80</v>
      </c>
      <c r="H36" s="36" t="str">
        <f>IFERROR(IF(F36="실링",G36/2000,IF(F36="골드",INT(G36*(1-0.01*IF(Q36="배틀아이템",검색!$I$22,IF(Q36="요리",검색!$J$22,IF(Q36="특수",검색!$K$22,IF(Q36="생활도구",검색!$L$22,"")))))),VLOOKUP(F36,'거래소 최저가'!A:B,2,FALSE)*G36/VLOOKUP(F36,'거래소 최저가'!A:D,4,FALSE))),"")</f>
        <v/>
      </c>
      <c r="I36" s="154">
        <f>IF(ISBLANK(A36),"",SUM(H36:H$207)-SUM(I37:I$207))</f>
        <v>205</v>
      </c>
      <c r="J36" s="154">
        <v>216</v>
      </c>
      <c r="K36" s="154">
        <f>IF(J36=1,1,INT(J36*(1-IF(Q36="배틀아이템",검색!$I$23,IF(Q36="요리",검색!$J$23,IF(Q36="특수",검색!$K$23,IF(Q36="생활도구",검색!$L$23))))*0.01)))</f>
        <v>216</v>
      </c>
      <c r="L36" s="154">
        <v>30</v>
      </c>
      <c r="M36" s="154">
        <f>L36*(1+0.01*IF(Q36="배틀아이템",검색!$I$21,IF(Q36="요리",검색!$J$21,IF(Q36="특수",검색!$K$21,IF(Q36="생활도구",검색!$L$21)))))</f>
        <v>30</v>
      </c>
      <c r="N36" s="154">
        <f t="shared" si="3"/>
        <v>-1.087962962962963</v>
      </c>
      <c r="O36" s="150">
        <f t="shared" ref="O36:O75" si="8">N36*10000</f>
        <v>-10879.62962962963</v>
      </c>
      <c r="P36" s="150">
        <f t="shared" si="5"/>
        <v>-12268.518518518518</v>
      </c>
      <c r="Q36" s="66" t="s">
        <v>127</v>
      </c>
    </row>
    <row r="37" spans="1:17" s="5" customFormat="1">
      <c r="A37" s="175"/>
      <c r="B37" s="169"/>
      <c r="C37" s="155"/>
      <c r="D37" s="159"/>
      <c r="E37" s="172"/>
      <c r="F37" s="37" t="s">
        <v>28</v>
      </c>
      <c r="G37" s="37">
        <v>10</v>
      </c>
      <c r="H37" s="37" t="str">
        <f>IFERROR(IF(F37="실링",G37/2000,IF(F37="골드",INT(G37*(1-0.01*IF(Q37="배틀아이템",검색!$I$22,IF(Q37="요리",검색!$J$22,IF(Q37="특수",검색!$K$22,IF(Q37="생활도구",검색!$L$22,"")))))),VLOOKUP(F37,'거래소 최저가'!A:B,2,FALSE)*G37/VLOOKUP(F37,'거래소 최저가'!A:D,4,FALSE))),"")</f>
        <v/>
      </c>
      <c r="I37" s="155"/>
      <c r="J37" s="155"/>
      <c r="K37" s="155"/>
      <c r="L37" s="155"/>
      <c r="M37" s="155"/>
      <c r="N37" s="155"/>
      <c r="O37" s="151"/>
      <c r="P37" s="151"/>
      <c r="Q37" s="67" t="s">
        <v>127</v>
      </c>
    </row>
    <row r="38" spans="1:17" s="5" customFormat="1">
      <c r="A38" s="175"/>
      <c r="B38" s="169"/>
      <c r="C38" s="155"/>
      <c r="D38" s="159"/>
      <c r="E38" s="172"/>
      <c r="F38" s="37" t="s">
        <v>1</v>
      </c>
      <c r="G38" s="37">
        <v>40</v>
      </c>
      <c r="H38" s="37" t="str">
        <f>IFERROR(IF(F38="실링",G38/2000,IF(F38="골드",INT(G38*(1-0.01*IF(Q38="배틀아이템",검색!$I$22,IF(Q38="요리",검색!$J$22,IF(Q38="특수",검색!$K$22,IF(Q38="생활도구",검색!$L$22,"")))))),VLOOKUP(F38,'거래소 최저가'!A:B,2,FALSE)*G38/VLOOKUP(F38,'거래소 최저가'!A:D,4,FALSE))),"")</f>
        <v/>
      </c>
      <c r="I38" s="155"/>
      <c r="J38" s="155"/>
      <c r="K38" s="155"/>
      <c r="L38" s="155"/>
      <c r="M38" s="155"/>
      <c r="N38" s="155"/>
      <c r="O38" s="151"/>
      <c r="P38" s="151"/>
      <c r="Q38" s="67" t="s">
        <v>127</v>
      </c>
    </row>
    <row r="39" spans="1:17" s="5" customFormat="1" ht="17.25" thickBot="1">
      <c r="A39" s="176"/>
      <c r="B39" s="170"/>
      <c r="C39" s="156"/>
      <c r="D39" s="160"/>
      <c r="E39" s="173"/>
      <c r="F39" s="38" t="s">
        <v>18</v>
      </c>
      <c r="G39" s="38">
        <v>205</v>
      </c>
      <c r="H39" s="38">
        <f>IFERROR(IF(F39="실링",G39/2000,IF(F39="골드",INT(G39*(1-0.01*IF(Q39="배틀아이템",검색!$I$22,IF(Q39="요리",검색!$J$22,IF(Q39="특수",검색!$K$22,IF(Q39="생활도구",검색!$L$22,"")))))),VLOOKUP(F39,'거래소 최저가'!A:B,2,FALSE)*G39/VLOOKUP(F39,'거래소 최저가'!A:D,4,FALSE))),"")</f>
        <v>205</v>
      </c>
      <c r="I39" s="156"/>
      <c r="J39" s="156"/>
      <c r="K39" s="156"/>
      <c r="L39" s="156"/>
      <c r="M39" s="156"/>
      <c r="N39" s="156"/>
      <c r="O39" s="152"/>
      <c r="P39" s="152"/>
      <c r="Q39" s="69" t="s">
        <v>127</v>
      </c>
    </row>
    <row r="40" spans="1:17" s="5" customFormat="1">
      <c r="A40" s="165" t="s">
        <v>35</v>
      </c>
      <c r="B40" s="168" t="str">
        <f t="shared" ref="B40:B44" si="9">IFERROR(IF(ISBLANK(A40),"",IF(C40&gt;E40,"제작","구매")),"")</f>
        <v>구매</v>
      </c>
      <c r="C40" s="154">
        <f>IFERROR(VLOOKUP(A40,'거래소 최저가'!F:G,2,FALSE),"")</f>
        <v>0</v>
      </c>
      <c r="D40" s="161">
        <f t="shared" si="1"/>
        <v>1</v>
      </c>
      <c r="E40" s="171">
        <f t="shared" ref="E40:E44" si="10">IFERROR(IF(ISBLANK(A40),"",I40/L40),"")</f>
        <v>6.833333333333333</v>
      </c>
      <c r="F40" s="36" t="s">
        <v>30</v>
      </c>
      <c r="G40" s="36">
        <v>64</v>
      </c>
      <c r="H40" s="36" t="str">
        <f>IFERROR(IF(F40="실링",G40/2000,IF(F40="골드",INT(G40*(1-0.01*IF(Q40="배틀아이템",검색!$I$22,IF(Q40="요리",검색!$J$22,IF(Q40="특수",검색!$K$22,IF(Q40="생활도구",검색!$L$22,"")))))),VLOOKUP(F40,'거래소 최저가'!A:B,2,FALSE)*G40/VLOOKUP(F40,'거래소 최저가'!A:D,4,FALSE))),"")</f>
        <v/>
      </c>
      <c r="I40" s="154">
        <f>IF(ISBLANK(A40),"",SUM(H40:H$207)-SUM(I41:I$207))</f>
        <v>205</v>
      </c>
      <c r="J40" s="154">
        <v>216</v>
      </c>
      <c r="K40" s="154">
        <f>IF(J40=1,1,INT(J40*(1-IF(Q40="배틀아이템",검색!$I$23,IF(Q40="요리",검색!$J$23,IF(Q40="특수",검색!$K$23,IF(Q40="생활도구",검색!$L$23))))*0.01)))</f>
        <v>216</v>
      </c>
      <c r="L40" s="154">
        <v>30</v>
      </c>
      <c r="M40" s="154">
        <f>L40*(1+0.01*IF(Q40="배틀아이템",검색!$I$21,IF(Q40="요리",검색!$J$21,IF(Q40="특수",검색!$K$21,IF(Q40="생활도구",검색!$L$21)))))</f>
        <v>30</v>
      </c>
      <c r="N40" s="154">
        <f t="shared" si="3"/>
        <v>-1.087962962962963</v>
      </c>
      <c r="O40" s="150">
        <f t="shared" ref="O40:O52" si="11">N40*10000</f>
        <v>-10879.62962962963</v>
      </c>
      <c r="P40" s="150">
        <f t="shared" si="5"/>
        <v>-12268.518518518518</v>
      </c>
      <c r="Q40" s="66" t="s">
        <v>127</v>
      </c>
    </row>
    <row r="41" spans="1:17" s="5" customFormat="1">
      <c r="A41" s="175"/>
      <c r="B41" s="169"/>
      <c r="C41" s="155"/>
      <c r="D41" s="159"/>
      <c r="E41" s="172"/>
      <c r="F41" s="37" t="s">
        <v>31</v>
      </c>
      <c r="G41" s="37">
        <v>26</v>
      </c>
      <c r="H41" s="37" t="str">
        <f>IFERROR(IF(F41="실링",G41/2000,IF(F41="골드",INT(G41*(1-0.01*IF(Q41="배틀아이템",검색!$I$22,IF(Q41="요리",검색!$J$22,IF(Q41="특수",검색!$K$22,IF(Q41="생활도구",검색!$L$22,"")))))),VLOOKUP(F41,'거래소 최저가'!A:B,2,FALSE)*G41/VLOOKUP(F41,'거래소 최저가'!A:D,4,FALSE))),"")</f>
        <v/>
      </c>
      <c r="I41" s="155"/>
      <c r="J41" s="155"/>
      <c r="K41" s="155"/>
      <c r="L41" s="155"/>
      <c r="M41" s="155"/>
      <c r="N41" s="155"/>
      <c r="O41" s="151"/>
      <c r="P41" s="151"/>
      <c r="Q41" s="67" t="s">
        <v>127</v>
      </c>
    </row>
    <row r="42" spans="1:17" s="5" customFormat="1">
      <c r="A42" s="175"/>
      <c r="B42" s="169"/>
      <c r="C42" s="155"/>
      <c r="D42" s="159"/>
      <c r="E42" s="172"/>
      <c r="F42" s="37" t="s">
        <v>32</v>
      </c>
      <c r="G42" s="37">
        <v>8</v>
      </c>
      <c r="H42" s="37" t="str">
        <f>IFERROR(IF(F42="실링",G42/2000,IF(F42="골드",INT(G42*(1-0.01*IF(Q42="배틀아이템",검색!$I$22,IF(Q42="요리",검색!$J$22,IF(Q42="특수",검색!$K$22,IF(Q42="생활도구",검색!$L$22,"")))))),VLOOKUP(F42,'거래소 최저가'!A:B,2,FALSE)*G42/VLOOKUP(F42,'거래소 최저가'!A:D,4,FALSE))),"")</f>
        <v/>
      </c>
      <c r="I42" s="155"/>
      <c r="J42" s="155"/>
      <c r="K42" s="155"/>
      <c r="L42" s="155"/>
      <c r="M42" s="155"/>
      <c r="N42" s="155"/>
      <c r="O42" s="151"/>
      <c r="P42" s="151"/>
      <c r="Q42" s="67" t="s">
        <v>127</v>
      </c>
    </row>
    <row r="43" spans="1:17" s="5" customFormat="1" ht="17.25" thickBot="1">
      <c r="A43" s="176"/>
      <c r="B43" s="170"/>
      <c r="C43" s="156"/>
      <c r="D43" s="159"/>
      <c r="E43" s="173"/>
      <c r="F43" s="38" t="s">
        <v>18</v>
      </c>
      <c r="G43" s="38">
        <v>205</v>
      </c>
      <c r="H43" s="54">
        <f>IFERROR(IF(F43="실링",G43/2000,IF(F43="골드",INT(G43*(1-0.01*IF(Q43="배틀아이템",검색!$I$22,IF(Q43="요리",검색!$J$22,IF(Q43="특수",검색!$K$22,IF(Q43="생활도구",검색!$L$22,"")))))),VLOOKUP(F43,'거래소 최저가'!A:B,2,FALSE)*G43/VLOOKUP(F43,'거래소 최저가'!A:D,4,FALSE))),"")</f>
        <v>205</v>
      </c>
      <c r="I43" s="156"/>
      <c r="J43" s="156"/>
      <c r="K43" s="156"/>
      <c r="L43" s="156"/>
      <c r="M43" s="156"/>
      <c r="N43" s="156"/>
      <c r="O43" s="152"/>
      <c r="P43" s="152"/>
      <c r="Q43" s="69" t="s">
        <v>127</v>
      </c>
    </row>
    <row r="44" spans="1:17" s="5" customFormat="1">
      <c r="A44" s="182" t="s">
        <v>121</v>
      </c>
      <c r="B44" s="168" t="str">
        <f t="shared" si="9"/>
        <v>구매</v>
      </c>
      <c r="C44" s="161">
        <f>IFERROR(VLOOKUP(A44,'거래소 최저가'!F:G,2,FALSE),"")</f>
        <v>0</v>
      </c>
      <c r="D44" s="161">
        <f t="shared" si="1"/>
        <v>1</v>
      </c>
      <c r="E44" s="184">
        <f t="shared" si="10"/>
        <v>12.5</v>
      </c>
      <c r="F44" s="52" t="s">
        <v>23</v>
      </c>
      <c r="G44" s="52">
        <v>128</v>
      </c>
      <c r="H44" s="56" t="str">
        <f>IFERROR(IF(F44="실링",G44/2000,IF(F44="골드",INT(G44*(1-0.01*IF(Q44="배틀아이템",검색!$I$22,IF(Q44="요리",검색!$J$22,IF(Q44="특수",검색!$K$22,IF(Q44="생활도구",검색!$L$22,"")))))),VLOOKUP(F44,'거래소 최저가'!A:B,2,FALSE)*G44/VLOOKUP(F44,'거래소 최저가'!A:D,4,FALSE))),"")</f>
        <v/>
      </c>
      <c r="I44" s="161">
        <f>IF(ISBLANK(A44),"",SUM(H44:H$207)-SUM(I45:I$207))</f>
        <v>250</v>
      </c>
      <c r="J44" s="161">
        <v>288</v>
      </c>
      <c r="K44" s="161">
        <f>IF(J44=1,1,INT(J44*(1-IF(Q44="배틀아이템",검색!$I$23,IF(Q44="요리",검색!$J$23,IF(Q44="특수",검색!$K$23,IF(Q44="생활도구",검색!$L$23))))*0.01)))</f>
        <v>288</v>
      </c>
      <c r="L44" s="161">
        <v>20</v>
      </c>
      <c r="M44" s="161">
        <f>L44*(1+0.01*IF(Q44="배틀아이템",검색!$I$21,IF(Q44="요리",검색!$J$21,IF(Q44="특수",검색!$K$21,IF(Q44="생활도구",검색!$L$21)))))</f>
        <v>20</v>
      </c>
      <c r="N44" s="161">
        <f t="shared" si="3"/>
        <v>-0.9375</v>
      </c>
      <c r="O44" s="162">
        <f t="shared" si="11"/>
        <v>-9375</v>
      </c>
      <c r="P44" s="162">
        <f t="shared" si="5"/>
        <v>-10069.444444444443</v>
      </c>
      <c r="Q44" s="70" t="s">
        <v>127</v>
      </c>
    </row>
    <row r="45" spans="1:17" s="5" customFormat="1">
      <c r="A45" s="183"/>
      <c r="B45" s="169"/>
      <c r="C45" s="159"/>
      <c r="D45" s="159"/>
      <c r="E45" s="185"/>
      <c r="F45" s="53" t="s">
        <v>25</v>
      </c>
      <c r="G45" s="53">
        <v>64</v>
      </c>
      <c r="H45" s="57" t="str">
        <f>IFERROR(IF(F45="실링",G45/2000,IF(F45="골드",INT(G45*(1-0.01*IF(Q45="배틀아이템",검색!$I$22,IF(Q45="요리",검색!$J$22,IF(Q45="특수",검색!$K$22,IF(Q45="생활도구",검색!$L$22,"")))))),VLOOKUP(F45,'거래소 최저가'!A:B,2,FALSE)*G45/VLOOKUP(F45,'거래소 최저가'!A:D,4,FALSE))),"")</f>
        <v/>
      </c>
      <c r="I45" s="159"/>
      <c r="J45" s="159"/>
      <c r="K45" s="159"/>
      <c r="L45" s="159"/>
      <c r="M45" s="159"/>
      <c r="N45" s="159"/>
      <c r="O45" s="163"/>
      <c r="P45" s="163"/>
      <c r="Q45" s="71" t="s">
        <v>127</v>
      </c>
    </row>
    <row r="46" spans="1:17" s="5" customFormat="1">
      <c r="A46" s="183"/>
      <c r="B46" s="169"/>
      <c r="C46" s="159"/>
      <c r="D46" s="159"/>
      <c r="E46" s="185"/>
      <c r="F46" s="53" t="s">
        <v>24</v>
      </c>
      <c r="G46" s="53">
        <v>16</v>
      </c>
      <c r="H46" s="57" t="str">
        <f>IFERROR(IF(F46="실링",G46/2000,IF(F46="골드",INT(G46*(1-0.01*IF(Q46="배틀아이템",검색!$I$22,IF(Q46="요리",검색!$J$22,IF(Q46="특수",검색!$K$22,IF(Q46="생활도구",검색!$L$22,"")))))),VLOOKUP(F46,'거래소 최저가'!A:B,2,FALSE)*G46/VLOOKUP(F46,'거래소 최저가'!A:D,4,FALSE))),"")</f>
        <v/>
      </c>
      <c r="I46" s="159"/>
      <c r="J46" s="159"/>
      <c r="K46" s="159"/>
      <c r="L46" s="159"/>
      <c r="M46" s="159"/>
      <c r="N46" s="159"/>
      <c r="O46" s="163"/>
      <c r="P46" s="163"/>
      <c r="Q46" s="71" t="s">
        <v>127</v>
      </c>
    </row>
    <row r="47" spans="1:17" s="5" customFormat="1" ht="17.25" thickBot="1">
      <c r="A47" s="183"/>
      <c r="B47" s="170"/>
      <c r="C47" s="159"/>
      <c r="D47" s="159"/>
      <c r="E47" s="185"/>
      <c r="F47" s="54" t="s">
        <v>18</v>
      </c>
      <c r="G47" s="54">
        <v>250</v>
      </c>
      <c r="H47" s="57">
        <f>IFERROR(IF(F47="실링",G47/2000,IF(F47="골드",INT(G47*(1-0.01*IF(Q47="배틀아이템",검색!$I$22,IF(Q47="요리",검색!$J$22,IF(Q47="특수",검색!$K$22,IF(Q47="생활도구",검색!$L$22,"")))))),VLOOKUP(F47,'거래소 최저가'!A:B,2,FALSE)*G47/VLOOKUP(F47,'거래소 최저가'!A:D,4,FALSE))),"")</f>
        <v>250</v>
      </c>
      <c r="I47" s="159"/>
      <c r="J47" s="159"/>
      <c r="K47" s="159"/>
      <c r="L47" s="159"/>
      <c r="M47" s="159"/>
      <c r="N47" s="159"/>
      <c r="O47" s="163"/>
      <c r="P47" s="163"/>
      <c r="Q47" s="71" t="s">
        <v>127</v>
      </c>
    </row>
    <row r="48" spans="1:17" s="5" customFormat="1">
      <c r="A48" s="165" t="s">
        <v>122</v>
      </c>
      <c r="B48" s="168" t="str">
        <f t="shared" ref="B48" si="12">IFERROR(IF(ISBLANK(A48),"",IF(C48&gt;E48,"제작","구매")),"")</f>
        <v>구매</v>
      </c>
      <c r="C48" s="154">
        <f>IFERROR(VLOOKUP(A48,'거래소 최저가'!F:G,2,FALSE),"")</f>
        <v>0</v>
      </c>
      <c r="D48" s="154">
        <f t="shared" si="1"/>
        <v>1</v>
      </c>
      <c r="E48" s="171">
        <f t="shared" ref="E48" si="13">IFERROR(IF(ISBLANK(A48),"",I48/L48),"")</f>
        <v>12.499999999999995</v>
      </c>
      <c r="F48" s="52" t="s">
        <v>27</v>
      </c>
      <c r="G48" s="52">
        <v>128</v>
      </c>
      <c r="H48" s="52" t="str">
        <f>IFERROR(IF(F48="실링",G48/2000,IF(F48="골드",INT(G48*(1-0.01*IF(Q48="배틀아이템",검색!$I$22,IF(Q48="요리",검색!$J$22,IF(Q48="특수",검색!$K$22,IF(Q48="생활도구",검색!$L$22,"")))))),VLOOKUP(F48,'거래소 최저가'!A:B,2,FALSE)*G48/VLOOKUP(F48,'거래소 최저가'!A:D,4,FALSE))),"")</f>
        <v/>
      </c>
      <c r="I48" s="154">
        <f>IF(ISBLANK(A48),"",SUM(H48:H$207)-SUM(I49:I$207))</f>
        <v>249.99999999999989</v>
      </c>
      <c r="J48" s="154">
        <v>288</v>
      </c>
      <c r="K48" s="154">
        <f>IF(J48=1,1,INT(J48*(1-IF(Q48="배틀아이템",검색!$I$23,IF(Q48="요리",검색!$J$23,IF(Q48="특수",검색!$K$23,IF(Q48="생활도구",검색!$L$23))))*0.01)))</f>
        <v>288</v>
      </c>
      <c r="L48" s="154">
        <v>20</v>
      </c>
      <c r="M48" s="154">
        <f>L48*(1+0.01*IF(Q48="배틀아이템",검색!$I$21,IF(Q48="요리",검색!$J$21,IF(Q48="특수",검색!$K$21,IF(Q48="생활도구",검색!$L$21)))))</f>
        <v>20</v>
      </c>
      <c r="N48" s="154">
        <f t="shared" si="3"/>
        <v>-0.93749999999999956</v>
      </c>
      <c r="O48" s="150">
        <f t="shared" si="11"/>
        <v>-9374.9999999999964</v>
      </c>
      <c r="P48" s="150">
        <f t="shared" si="5"/>
        <v>-10069.44444444444</v>
      </c>
      <c r="Q48" s="66" t="s">
        <v>127</v>
      </c>
    </row>
    <row r="49" spans="1:17" s="5" customFormat="1">
      <c r="A49" s="175"/>
      <c r="B49" s="169"/>
      <c r="C49" s="155"/>
      <c r="D49" s="155"/>
      <c r="E49" s="172"/>
      <c r="F49" s="53" t="s">
        <v>1</v>
      </c>
      <c r="G49" s="53">
        <v>64</v>
      </c>
      <c r="H49" s="53" t="str">
        <f>IFERROR(IF(F49="실링",G49/2000,IF(F49="골드",INT(G49*(1-0.01*IF(Q49="배틀아이템",검색!$I$22,IF(Q49="요리",검색!$J$22,IF(Q49="특수",검색!$K$22,IF(Q49="생활도구",검색!$L$22,"")))))),VLOOKUP(F49,'거래소 최저가'!A:B,2,FALSE)*G49/VLOOKUP(F49,'거래소 최저가'!A:D,4,FALSE))),"")</f>
        <v/>
      </c>
      <c r="I49" s="155"/>
      <c r="J49" s="155"/>
      <c r="K49" s="155"/>
      <c r="L49" s="155"/>
      <c r="M49" s="155"/>
      <c r="N49" s="155"/>
      <c r="O49" s="151"/>
      <c r="P49" s="151"/>
      <c r="Q49" s="67" t="s">
        <v>127</v>
      </c>
    </row>
    <row r="50" spans="1:17" s="5" customFormat="1">
      <c r="A50" s="175"/>
      <c r="B50" s="169"/>
      <c r="C50" s="155"/>
      <c r="D50" s="155"/>
      <c r="E50" s="172"/>
      <c r="F50" s="53" t="s">
        <v>28</v>
      </c>
      <c r="G50" s="53">
        <v>16</v>
      </c>
      <c r="H50" s="53" t="str">
        <f>IFERROR(IF(F50="실링",G50/2000,IF(F50="골드",INT(G50*(1-0.01*IF(Q50="배틀아이템",검색!$I$22,IF(Q50="요리",검색!$J$22,IF(Q50="특수",검색!$K$22,IF(Q50="생활도구",검색!$L$22,"")))))),VLOOKUP(F50,'거래소 최저가'!A:B,2,FALSE)*G50/VLOOKUP(F50,'거래소 최저가'!A:D,4,FALSE))),"")</f>
        <v/>
      </c>
      <c r="I50" s="155"/>
      <c r="J50" s="155"/>
      <c r="K50" s="155"/>
      <c r="L50" s="155"/>
      <c r="M50" s="155"/>
      <c r="N50" s="155"/>
      <c r="O50" s="151"/>
      <c r="P50" s="151"/>
      <c r="Q50" s="67" t="s">
        <v>127</v>
      </c>
    </row>
    <row r="51" spans="1:17" s="5" customFormat="1" ht="17.25" thickBot="1">
      <c r="A51" s="176"/>
      <c r="B51" s="170"/>
      <c r="C51" s="156"/>
      <c r="D51" s="156"/>
      <c r="E51" s="173"/>
      <c r="F51" s="54" t="s">
        <v>18</v>
      </c>
      <c r="G51" s="54">
        <v>250</v>
      </c>
      <c r="H51" s="54">
        <f>IFERROR(IF(F51="실링",G51/2000,IF(F51="골드",INT(G51*(1-0.01*IF(Q51="배틀아이템",검색!$I$22,IF(Q51="요리",검색!$J$22,IF(Q51="특수",검색!$K$22,IF(Q51="생활도구",검색!$L$22,"")))))),VLOOKUP(F51,'거래소 최저가'!A:B,2,FALSE)*G51/VLOOKUP(F51,'거래소 최저가'!A:D,4,FALSE))),"")</f>
        <v>250</v>
      </c>
      <c r="I51" s="156"/>
      <c r="J51" s="156"/>
      <c r="K51" s="156"/>
      <c r="L51" s="156"/>
      <c r="M51" s="156"/>
      <c r="N51" s="156"/>
      <c r="O51" s="152"/>
      <c r="P51" s="152"/>
      <c r="Q51" s="69" t="s">
        <v>127</v>
      </c>
    </row>
    <row r="52" spans="1:17" s="5" customFormat="1">
      <c r="A52" s="165" t="s">
        <v>123</v>
      </c>
      <c r="B52" s="168" t="str">
        <f t="shared" ref="B52" si="14">IFERROR(IF(ISBLANK(A52),"",IF(C52&gt;E52,"제작","구매")),"")</f>
        <v>구매</v>
      </c>
      <c r="C52" s="154">
        <f>IFERROR(VLOOKUP(A52,'거래소 최저가'!F:G,2,FALSE),"")</f>
        <v>0</v>
      </c>
      <c r="D52" s="154">
        <f t="shared" si="1"/>
        <v>1</v>
      </c>
      <c r="E52" s="171">
        <f t="shared" ref="E52" si="15">IFERROR(IF(ISBLANK(A52),"",I52/L52),"")</f>
        <v>12.5</v>
      </c>
      <c r="F52" s="52" t="s">
        <v>30</v>
      </c>
      <c r="G52" s="52">
        <v>94</v>
      </c>
      <c r="H52" s="52" t="str">
        <f>IFERROR(IF(F52="실링",G52/2000,IF(F52="골드",INT(G52*(1-0.01*IF(Q52="배틀아이템",검색!$I$22,IF(Q52="요리",검색!$J$22,IF(Q52="특수",검색!$K$22,IF(Q52="생활도구",검색!$L$22,"")))))),VLOOKUP(F52,'거래소 최저가'!A:B,2,FALSE)*G52/VLOOKUP(F52,'거래소 최저가'!A:D,4,FALSE))),"")</f>
        <v/>
      </c>
      <c r="I52" s="154">
        <f>IF(ISBLANK(A52),"",SUM(H52:H$207)-SUM(I53:I$207))</f>
        <v>250</v>
      </c>
      <c r="J52" s="154">
        <v>288</v>
      </c>
      <c r="K52" s="154">
        <f>IF(J52=1,1,INT(J52*(1-IF(Q52="배틀아이템",검색!$I$23,IF(Q52="요리",검색!$J$23,IF(Q52="특수",검색!$K$23,IF(Q52="생활도구",검색!$L$23))))*0.01)))</f>
        <v>288</v>
      </c>
      <c r="L52" s="154">
        <v>20</v>
      </c>
      <c r="M52" s="154">
        <f>L52*(1+0.01*IF(Q52="배틀아이템",검색!$I$21,IF(Q52="요리",검색!$J$21,IF(Q52="특수",검색!$K$21,IF(Q52="생활도구",검색!$L$21)))))</f>
        <v>20</v>
      </c>
      <c r="N52" s="154">
        <f t="shared" si="3"/>
        <v>-0.9375</v>
      </c>
      <c r="O52" s="150">
        <f t="shared" si="11"/>
        <v>-9375</v>
      </c>
      <c r="P52" s="150">
        <f t="shared" si="5"/>
        <v>-10069.444444444443</v>
      </c>
      <c r="Q52" s="66" t="s">
        <v>127</v>
      </c>
    </row>
    <row r="53" spans="1:17" s="5" customFormat="1">
      <c r="A53" s="175"/>
      <c r="B53" s="169"/>
      <c r="C53" s="155"/>
      <c r="D53" s="155"/>
      <c r="E53" s="172"/>
      <c r="F53" s="53" t="s">
        <v>31</v>
      </c>
      <c r="G53" s="53">
        <v>29</v>
      </c>
      <c r="H53" s="53" t="str">
        <f>IFERROR(IF(F53="실링",G53/2000,IF(F53="골드",INT(G53*(1-0.01*IF(Q53="배틀아이템",검색!$I$22,IF(Q53="요리",검색!$J$22,IF(Q53="특수",검색!$K$22,IF(Q53="생활도구",검색!$L$22,"")))))),VLOOKUP(F53,'거래소 최저가'!A:B,2,FALSE)*G53/VLOOKUP(F53,'거래소 최저가'!A:D,4,FALSE))),"")</f>
        <v/>
      </c>
      <c r="I53" s="155"/>
      <c r="J53" s="155"/>
      <c r="K53" s="155"/>
      <c r="L53" s="155"/>
      <c r="M53" s="155"/>
      <c r="N53" s="155"/>
      <c r="O53" s="151"/>
      <c r="P53" s="151"/>
      <c r="Q53" s="67" t="s">
        <v>127</v>
      </c>
    </row>
    <row r="54" spans="1:17" s="5" customFormat="1">
      <c r="A54" s="175"/>
      <c r="B54" s="169"/>
      <c r="C54" s="155"/>
      <c r="D54" s="155"/>
      <c r="E54" s="172"/>
      <c r="F54" s="53" t="s">
        <v>32</v>
      </c>
      <c r="G54" s="53">
        <v>16</v>
      </c>
      <c r="H54" s="53" t="str">
        <f>IFERROR(IF(F54="실링",G54/2000,IF(F54="골드",INT(G54*(1-0.01*IF(Q54="배틀아이템",검색!$I$22,IF(Q54="요리",검색!$J$22,IF(Q54="특수",검색!$K$22,IF(Q54="생활도구",검색!$L$22,"")))))),VLOOKUP(F54,'거래소 최저가'!A:B,2,FALSE)*G54/VLOOKUP(F54,'거래소 최저가'!A:D,4,FALSE))),"")</f>
        <v/>
      </c>
      <c r="I54" s="155"/>
      <c r="J54" s="155"/>
      <c r="K54" s="155"/>
      <c r="L54" s="155"/>
      <c r="M54" s="155"/>
      <c r="N54" s="155"/>
      <c r="O54" s="151"/>
      <c r="P54" s="151"/>
      <c r="Q54" s="67" t="s">
        <v>127</v>
      </c>
    </row>
    <row r="55" spans="1:17" s="5" customFormat="1" ht="17.25" thickBot="1">
      <c r="A55" s="180"/>
      <c r="B55" s="181"/>
      <c r="C55" s="157"/>
      <c r="D55" s="157"/>
      <c r="E55" s="179"/>
      <c r="F55" s="55" t="s">
        <v>18</v>
      </c>
      <c r="G55" s="55">
        <v>250</v>
      </c>
      <c r="H55" s="55">
        <f>IFERROR(IF(F55="실링",G55/2000,IF(F55="골드",INT(G55*(1-0.01*IF(Q55="배틀아이템",검색!$I$22,IF(Q55="요리",검색!$J$22,IF(Q55="특수",검색!$K$22,IF(Q55="생활도구",검색!$L$22,"")))))),VLOOKUP(F55,'거래소 최저가'!A:B,2,FALSE)*G55/VLOOKUP(F55,'거래소 최저가'!A:D,4,FALSE))),"")</f>
        <v>250</v>
      </c>
      <c r="I55" s="157"/>
      <c r="J55" s="157"/>
      <c r="K55" s="157"/>
      <c r="L55" s="157"/>
      <c r="M55" s="157"/>
      <c r="N55" s="157"/>
      <c r="O55" s="153"/>
      <c r="P55" s="153"/>
      <c r="Q55" s="68" t="s">
        <v>127</v>
      </c>
    </row>
    <row r="56" spans="1:17" s="5" customFormat="1">
      <c r="A56" s="165" t="s">
        <v>146</v>
      </c>
      <c r="B56" s="168" t="str">
        <f t="shared" si="6"/>
        <v>제작</v>
      </c>
      <c r="C56" s="154" t="str">
        <f>IFERROR(VLOOKUP(A56,'거래소 최저가'!F:G,2,FALSE),"")</f>
        <v/>
      </c>
      <c r="D56" s="161" t="str">
        <f t="shared" si="1"/>
        <v/>
      </c>
      <c r="E56" s="171">
        <f t="shared" si="7"/>
        <v>1.2250000000000227</v>
      </c>
      <c r="F56" s="36" t="s">
        <v>27</v>
      </c>
      <c r="G56" s="36">
        <v>60</v>
      </c>
      <c r="H56" s="36" t="str">
        <f>IFERROR(IF(F56="실링",G56/2000,IF(F56="골드",INT(G56*(1-0.01*IF(Q56="배틀아이템",검색!$I$22,IF(Q56="요리",검색!$J$22,IF(Q56="특수",검색!$K$22,IF(Q56="생활도구",검색!$L$22,"")))))),VLOOKUP(F56,'거래소 최저가'!A:B,2,FALSE)*G56/VLOOKUP(F56,'거래소 최저가'!A:D,4,FALSE))),"")</f>
        <v/>
      </c>
      <c r="I56" s="154">
        <f>IF(ISBLANK(A56),"",SUM(H56:H$207)-SUM(I57:I$207))</f>
        <v>1.2250000000000227</v>
      </c>
      <c r="J56" s="154">
        <v>288</v>
      </c>
      <c r="K56" s="154">
        <f>IF(J56=1,1,INT(J56*(1-IF(Q56="배틀아이템",검색!$I$23,IF(Q56="요리",검색!$J$23,IF(Q56="특수",검색!$K$23,IF(Q56="생활도구",검색!$L$23))))*0.01)))</f>
        <v>288</v>
      </c>
      <c r="L56" s="154">
        <v>1</v>
      </c>
      <c r="M56" s="154">
        <f>L56*(1+0.01*IF(Q56="배틀아이템",검색!$I$21,IF(Q56="요리",검색!$J$21,IF(Q56="특수",검색!$K$21,IF(Q56="생활도구",검색!$L$21)))))</f>
        <v>1</v>
      </c>
      <c r="N56" s="154" t="str">
        <f t="shared" si="3"/>
        <v/>
      </c>
      <c r="O56" s="150" t="e">
        <f t="shared" si="8"/>
        <v>#VALUE!</v>
      </c>
      <c r="P56" s="150" t="e">
        <f t="shared" si="5"/>
        <v>#VALUE!</v>
      </c>
      <c r="Q56" s="66" t="s">
        <v>126</v>
      </c>
    </row>
    <row r="57" spans="1:17" s="5" customFormat="1">
      <c r="A57" s="166"/>
      <c r="B57" s="169"/>
      <c r="C57" s="155"/>
      <c r="D57" s="159"/>
      <c r="E57" s="172"/>
      <c r="F57" s="37" t="s">
        <v>23</v>
      </c>
      <c r="G57" s="37">
        <v>60</v>
      </c>
      <c r="H57" s="37" t="str">
        <f>IFERROR(IF(F57="실링",G57/2000,IF(F57="골드",INT(G57*(1-0.01*IF(Q57="배틀아이템",검색!$I$22,IF(Q57="요리",검색!$J$22,IF(Q57="특수",검색!$K$22,IF(Q57="생활도구",검색!$L$22,"")))))),VLOOKUP(F57,'거래소 최저가'!A:B,2,FALSE)*G57/VLOOKUP(F57,'거래소 최저가'!A:D,4,FALSE))),"")</f>
        <v/>
      </c>
      <c r="I57" s="155"/>
      <c r="J57" s="155"/>
      <c r="K57" s="155"/>
      <c r="L57" s="155"/>
      <c r="M57" s="155"/>
      <c r="N57" s="155"/>
      <c r="O57" s="151"/>
      <c r="P57" s="151"/>
      <c r="Q57" s="67" t="s">
        <v>126</v>
      </c>
    </row>
    <row r="58" spans="1:17" s="5" customFormat="1">
      <c r="A58" s="166"/>
      <c r="B58" s="169"/>
      <c r="C58" s="155"/>
      <c r="D58" s="159"/>
      <c r="E58" s="172"/>
      <c r="F58" s="37" t="s">
        <v>40</v>
      </c>
      <c r="G58" s="37">
        <v>38</v>
      </c>
      <c r="H58" s="37" t="str">
        <f>IFERROR(IF(F58="실링",G58/2000,IF(F58="골드",INT(G58*(1-0.01*IF(Q58="배틀아이템",검색!$I$22,IF(Q58="요리",검색!$J$22,IF(Q58="특수",검색!$K$22,IF(Q58="생활도구",검색!$L$22,"")))))),VLOOKUP(F58,'거래소 최저가'!A:B,2,FALSE)*G58/VLOOKUP(F58,'거래소 최저가'!A:D,4,FALSE))),"")</f>
        <v/>
      </c>
      <c r="I58" s="155"/>
      <c r="J58" s="155"/>
      <c r="K58" s="155"/>
      <c r="L58" s="155"/>
      <c r="M58" s="155"/>
      <c r="N58" s="155"/>
      <c r="O58" s="151"/>
      <c r="P58" s="151"/>
      <c r="Q58" s="67" t="s">
        <v>126</v>
      </c>
    </row>
    <row r="59" spans="1:17" s="5" customFormat="1">
      <c r="A59" s="166"/>
      <c r="B59" s="169"/>
      <c r="C59" s="155"/>
      <c r="D59" s="159"/>
      <c r="E59" s="172"/>
      <c r="F59" s="37" t="s">
        <v>41</v>
      </c>
      <c r="G59" s="37">
        <v>38</v>
      </c>
      <c r="H59" s="37" t="str">
        <f>IFERROR(IF(F59="실링",G59/2000,IF(F59="골드",INT(G59*(1-0.01*IF(Q59="배틀아이템",검색!$I$22,IF(Q59="요리",검색!$J$22,IF(Q59="특수",검색!$K$22,IF(Q59="생활도구",검색!$L$22,"")))))),VLOOKUP(F59,'거래소 최저가'!A:B,2,FALSE)*G59/VLOOKUP(F59,'거래소 최저가'!A:D,4,FALSE))),"")</f>
        <v/>
      </c>
      <c r="I59" s="155"/>
      <c r="J59" s="155"/>
      <c r="K59" s="155"/>
      <c r="L59" s="155"/>
      <c r="M59" s="155"/>
      <c r="N59" s="155"/>
      <c r="O59" s="151"/>
      <c r="P59" s="151"/>
      <c r="Q59" s="67" t="s">
        <v>126</v>
      </c>
    </row>
    <row r="60" spans="1:17" s="5" customFormat="1" ht="17.25" thickBot="1">
      <c r="A60" s="167"/>
      <c r="B60" s="170"/>
      <c r="C60" s="156"/>
      <c r="D60" s="160"/>
      <c r="E60" s="173"/>
      <c r="F60" s="38" t="s">
        <v>108</v>
      </c>
      <c r="G60" s="38">
        <v>2450</v>
      </c>
      <c r="H60" s="38">
        <f>IFERROR(IF(F60="실링",G60/2000,IF(F60="골드",INT(G60*(1-0.01*IF(Q60="배틀아이템",검색!$I$22,IF(Q60="요리",검색!$J$22,IF(Q60="특수",검색!$K$22,IF(Q60="생활도구",검색!$L$22,"")))))),VLOOKUP(F60,'거래소 최저가'!A:B,2,FALSE)*G60/VLOOKUP(F60,'거래소 최저가'!A:D,4,FALSE))),"")</f>
        <v>1.2250000000000001</v>
      </c>
      <c r="I60" s="156"/>
      <c r="J60" s="156"/>
      <c r="K60" s="156"/>
      <c r="L60" s="156"/>
      <c r="M60" s="156"/>
      <c r="N60" s="156"/>
      <c r="O60" s="152"/>
      <c r="P60" s="152"/>
      <c r="Q60" s="69" t="s">
        <v>126</v>
      </c>
    </row>
    <row r="61" spans="1:17" s="5" customFormat="1">
      <c r="A61" s="165" t="s">
        <v>147</v>
      </c>
      <c r="B61" s="168" t="str">
        <f t="shared" si="6"/>
        <v>제작</v>
      </c>
      <c r="C61" s="154" t="str">
        <f>IFERROR(VLOOKUP(A61,'거래소 최저가'!F:G,2,FALSE),"")</f>
        <v/>
      </c>
      <c r="D61" s="161" t="str">
        <f t="shared" si="1"/>
        <v/>
      </c>
      <c r="E61" s="171">
        <f t="shared" si="7"/>
        <v>25</v>
      </c>
      <c r="F61" s="36" t="s">
        <v>27</v>
      </c>
      <c r="G61" s="36">
        <v>80</v>
      </c>
      <c r="H61" s="36" t="str">
        <f>IFERROR(IF(F61="실링",G61/2000,IF(F61="골드",INT(G61*(1-0.01*IF(Q61="배틀아이템",검색!$I$22,IF(Q61="요리",검색!$J$22,IF(Q61="특수",검색!$K$22,IF(Q61="생활도구",검색!$L$22,"")))))),VLOOKUP(F61,'거래소 최저가'!A:B,2,FALSE)*G61/VLOOKUP(F61,'거래소 최저가'!A:D,4,FALSE))),"")</f>
        <v/>
      </c>
      <c r="I61" s="154">
        <f>IF(ISBLANK(A61),"",SUM(H61:H$207)-SUM(I62:I$207))</f>
        <v>25</v>
      </c>
      <c r="J61" s="154">
        <v>288</v>
      </c>
      <c r="K61" s="154">
        <f>IF(J61=1,1,INT(J61*(1-IF(Q61="배틀아이템",검색!$I$23,IF(Q61="요리",검색!$J$23,IF(Q61="특수",검색!$K$23,IF(Q61="생활도구",검색!$L$23))))*0.01)))</f>
        <v>288</v>
      </c>
      <c r="L61" s="154">
        <v>1</v>
      </c>
      <c r="M61" s="154">
        <f>L61*(1+0.01*IF(Q61="배틀아이템",검색!$I$21,IF(Q61="요리",검색!$J$21,IF(Q61="특수",검색!$K$21,IF(Q61="생활도구",검색!$L$21)))))</f>
        <v>1</v>
      </c>
      <c r="N61" s="154" t="str">
        <f t="shared" si="3"/>
        <v/>
      </c>
      <c r="O61" s="150" t="e">
        <f t="shared" si="8"/>
        <v>#VALUE!</v>
      </c>
      <c r="P61" s="150" t="e">
        <f t="shared" si="5"/>
        <v>#VALUE!</v>
      </c>
      <c r="Q61" s="66" t="s">
        <v>126</v>
      </c>
    </row>
    <row r="62" spans="1:17" s="5" customFormat="1">
      <c r="A62" s="166"/>
      <c r="B62" s="169"/>
      <c r="C62" s="155"/>
      <c r="D62" s="159"/>
      <c r="E62" s="172"/>
      <c r="F62" s="37" t="s">
        <v>23</v>
      </c>
      <c r="G62" s="37">
        <v>80</v>
      </c>
      <c r="H62" s="37" t="str">
        <f>IFERROR(IF(F62="실링",G62/2000,IF(F62="골드",INT(G62*(1-0.01*IF(Q62="배틀아이템",검색!$I$22,IF(Q62="요리",검색!$J$22,IF(Q62="특수",검색!$K$22,IF(Q62="생활도구",검색!$L$22,"")))))),VLOOKUP(F62,'거래소 최저가'!A:B,2,FALSE)*G62/VLOOKUP(F62,'거래소 최저가'!A:D,4,FALSE))),"")</f>
        <v/>
      </c>
      <c r="I62" s="155"/>
      <c r="J62" s="155"/>
      <c r="K62" s="155"/>
      <c r="L62" s="155"/>
      <c r="M62" s="155"/>
      <c r="N62" s="155"/>
      <c r="O62" s="151"/>
      <c r="P62" s="151"/>
      <c r="Q62" s="67" t="s">
        <v>126</v>
      </c>
    </row>
    <row r="63" spans="1:17" s="5" customFormat="1">
      <c r="A63" s="166"/>
      <c r="B63" s="169"/>
      <c r="C63" s="155"/>
      <c r="D63" s="159"/>
      <c r="E63" s="172"/>
      <c r="F63" s="37" t="s">
        <v>40</v>
      </c>
      <c r="G63" s="37">
        <v>40</v>
      </c>
      <c r="H63" s="37" t="str">
        <f>IFERROR(IF(F63="실링",G63/2000,IF(F63="골드",INT(G63*(1-0.01*IF(Q63="배틀아이템",검색!$I$22,IF(Q63="요리",검색!$J$22,IF(Q63="특수",검색!$K$22,IF(Q63="생활도구",검색!$L$22,"")))))),VLOOKUP(F63,'거래소 최저가'!A:B,2,FALSE)*G63/VLOOKUP(F63,'거래소 최저가'!A:D,4,FALSE))),"")</f>
        <v/>
      </c>
      <c r="I63" s="155"/>
      <c r="J63" s="155"/>
      <c r="K63" s="155"/>
      <c r="L63" s="155"/>
      <c r="M63" s="155"/>
      <c r="N63" s="155"/>
      <c r="O63" s="151"/>
      <c r="P63" s="151"/>
      <c r="Q63" s="67" t="s">
        <v>126</v>
      </c>
    </row>
    <row r="64" spans="1:17" s="5" customFormat="1">
      <c r="A64" s="166"/>
      <c r="B64" s="169"/>
      <c r="C64" s="155"/>
      <c r="D64" s="159"/>
      <c r="E64" s="172"/>
      <c r="F64" s="37" t="s">
        <v>41</v>
      </c>
      <c r="G64" s="37">
        <v>40</v>
      </c>
      <c r="H64" s="37" t="str">
        <f>IFERROR(IF(F64="실링",G64/2000,IF(F64="골드",INT(G64*(1-0.01*IF(Q64="배틀아이템",검색!$I$22,IF(Q64="요리",검색!$J$22,IF(Q64="특수",검색!$K$22,IF(Q64="생활도구",검색!$L$22,"")))))),VLOOKUP(F64,'거래소 최저가'!A:B,2,FALSE)*G64/VLOOKUP(F64,'거래소 최저가'!A:D,4,FALSE))),"")</f>
        <v/>
      </c>
      <c r="I64" s="155"/>
      <c r="J64" s="155"/>
      <c r="K64" s="155"/>
      <c r="L64" s="155"/>
      <c r="M64" s="155"/>
      <c r="N64" s="155"/>
      <c r="O64" s="151"/>
      <c r="P64" s="151"/>
      <c r="Q64" s="67" t="s">
        <v>126</v>
      </c>
    </row>
    <row r="65" spans="1:17" s="5" customFormat="1">
      <c r="A65" s="166"/>
      <c r="B65" s="169"/>
      <c r="C65" s="155"/>
      <c r="D65" s="159"/>
      <c r="E65" s="172"/>
      <c r="F65" s="37" t="s">
        <v>42</v>
      </c>
      <c r="G65" s="37">
        <v>10</v>
      </c>
      <c r="H65" s="37" t="str">
        <f>IFERROR(IF(F65="실링",G65/2000,IF(F65="골드",INT(G65*(1-0.01*IF(Q65="배틀아이템",검색!$I$22,IF(Q65="요리",검색!$J$22,IF(Q65="특수",검색!$K$22,IF(Q65="생활도구",검색!$L$22,"")))))),VLOOKUP(F65,'거래소 최저가'!A:B,2,FALSE)*G65/VLOOKUP(F65,'거래소 최저가'!A:D,4,FALSE))),"")</f>
        <v/>
      </c>
      <c r="I65" s="155"/>
      <c r="J65" s="155"/>
      <c r="K65" s="155"/>
      <c r="L65" s="155"/>
      <c r="M65" s="155"/>
      <c r="N65" s="155"/>
      <c r="O65" s="151"/>
      <c r="P65" s="151"/>
      <c r="Q65" s="67" t="s">
        <v>126</v>
      </c>
    </row>
    <row r="66" spans="1:17" s="5" customFormat="1">
      <c r="A66" s="166"/>
      <c r="B66" s="169"/>
      <c r="C66" s="155"/>
      <c r="D66" s="159"/>
      <c r="E66" s="172"/>
      <c r="F66" s="37" t="s">
        <v>43</v>
      </c>
      <c r="G66" s="37">
        <v>10</v>
      </c>
      <c r="H66" s="37" t="str">
        <f>IFERROR(IF(F66="실링",G66/2000,IF(F66="골드",INT(G66*(1-0.01*IF(Q66="배틀아이템",검색!$I$22,IF(Q66="요리",검색!$J$22,IF(Q66="특수",검색!$K$22,IF(Q66="생활도구",검색!$L$22,"")))))),VLOOKUP(F66,'거래소 최저가'!A:B,2,FALSE)*G66/VLOOKUP(F66,'거래소 최저가'!A:D,4,FALSE))),"")</f>
        <v/>
      </c>
      <c r="I66" s="155"/>
      <c r="J66" s="155"/>
      <c r="K66" s="155"/>
      <c r="L66" s="155"/>
      <c r="M66" s="155"/>
      <c r="N66" s="155"/>
      <c r="O66" s="151"/>
      <c r="P66" s="151"/>
      <c r="Q66" s="67" t="s">
        <v>126</v>
      </c>
    </row>
    <row r="67" spans="1:17" s="5" customFormat="1" ht="17.25" thickBot="1">
      <c r="A67" s="167"/>
      <c r="B67" s="170"/>
      <c r="C67" s="156"/>
      <c r="D67" s="160"/>
      <c r="E67" s="173"/>
      <c r="F67" s="38" t="s">
        <v>18</v>
      </c>
      <c r="G67" s="38">
        <v>25</v>
      </c>
      <c r="H67" s="38">
        <f>IFERROR(IF(F67="실링",G67/2000,IF(F67="골드",INT(G67*(1-0.01*IF(Q67="배틀아이템",검색!$I$22,IF(Q67="요리",검색!$J$22,IF(Q67="특수",검색!$K$22,IF(Q67="생활도구",검색!$L$22,"")))))),VLOOKUP(F67,'거래소 최저가'!A:B,2,FALSE)*G67/VLOOKUP(F67,'거래소 최저가'!A:D,4,FALSE))),"")</f>
        <v>25</v>
      </c>
      <c r="I67" s="156"/>
      <c r="J67" s="156"/>
      <c r="K67" s="156"/>
      <c r="L67" s="156"/>
      <c r="M67" s="156"/>
      <c r="N67" s="156"/>
      <c r="O67" s="152"/>
      <c r="P67" s="152"/>
      <c r="Q67" s="69" t="s">
        <v>126</v>
      </c>
    </row>
    <row r="68" spans="1:17" s="5" customFormat="1">
      <c r="A68" s="165" t="s">
        <v>148</v>
      </c>
      <c r="B68" s="168" t="str">
        <f t="shared" si="6"/>
        <v>제작</v>
      </c>
      <c r="C68" s="154" t="str">
        <f>IFERROR(VLOOKUP(A68,'거래소 최저가'!F:G,2,FALSE),"")</f>
        <v/>
      </c>
      <c r="D68" s="161" t="str">
        <f t="shared" ref="D68:D127" si="16">IFERROR(INT(C68*0.05)+1,"")</f>
        <v/>
      </c>
      <c r="E68" s="171">
        <f t="shared" si="7"/>
        <v>50</v>
      </c>
      <c r="F68" s="36" t="s">
        <v>27</v>
      </c>
      <c r="G68" s="36">
        <v>80</v>
      </c>
      <c r="H68" s="36" t="str">
        <f>IFERROR(IF(F68="실링",G68/2000,IF(F68="골드",INT(G68*(1-0.01*IF(Q68="배틀아이템",검색!$I$22,IF(Q68="요리",검색!$J$22,IF(Q68="특수",검색!$K$22,IF(Q68="생활도구",검색!$L$22,"")))))),VLOOKUP(F68,'거래소 최저가'!A:B,2,FALSE)*G68/VLOOKUP(F68,'거래소 최저가'!A:D,4,FALSE))),"")</f>
        <v/>
      </c>
      <c r="I68" s="154">
        <f>IF(ISBLANK(A68),"",SUM(H68:H$207)-SUM(I69:I$207))</f>
        <v>50</v>
      </c>
      <c r="J68" s="154">
        <v>288</v>
      </c>
      <c r="K68" s="154">
        <f>IF(J68=1,1,INT(J68*(1-IF(Q68="배틀아이템",검색!$I$23,IF(Q68="요리",검색!$J$23,IF(Q68="특수",검색!$K$23,IF(Q68="생활도구",검색!$L$23))))*0.01)))</f>
        <v>288</v>
      </c>
      <c r="L68" s="154">
        <v>1</v>
      </c>
      <c r="M68" s="154">
        <f>L68*(1+0.01*IF(Q68="배틀아이템",검색!$I$21,IF(Q68="요리",검색!$J$21,IF(Q68="특수",검색!$K$21,IF(Q68="생활도구",검색!$L$21)))))</f>
        <v>1</v>
      </c>
      <c r="N68" s="154" t="str">
        <f t="shared" ref="N68:N127" si="17">IFERROR((((C68-D68)*M68-I68)/K68),"")</f>
        <v/>
      </c>
      <c r="O68" s="150" t="e">
        <f t="shared" si="8"/>
        <v>#VALUE!</v>
      </c>
      <c r="P68" s="150" t="e">
        <f t="shared" ref="P68:P127" si="18">((C68-D68-1)*M68-I68)/K68*10000</f>
        <v>#VALUE!</v>
      </c>
      <c r="Q68" s="66" t="s">
        <v>126</v>
      </c>
    </row>
    <row r="69" spans="1:17" s="5" customFormat="1">
      <c r="A69" s="166"/>
      <c r="B69" s="169"/>
      <c r="C69" s="155"/>
      <c r="D69" s="159"/>
      <c r="E69" s="172"/>
      <c r="F69" s="37" t="s">
        <v>23</v>
      </c>
      <c r="G69" s="37">
        <v>96</v>
      </c>
      <c r="H69" s="37" t="str">
        <f>IFERROR(IF(F69="실링",G69/2000,IF(F69="골드",INT(G69*(1-0.01*IF(Q69="배틀아이템",검색!$I$22,IF(Q69="요리",검색!$J$22,IF(Q69="특수",검색!$K$22,IF(Q69="생활도구",검색!$L$22,"")))))),VLOOKUP(F69,'거래소 최저가'!A:B,2,FALSE)*G69/VLOOKUP(F69,'거래소 최저가'!A:D,4,FALSE))),"")</f>
        <v/>
      </c>
      <c r="I69" s="155"/>
      <c r="J69" s="155"/>
      <c r="K69" s="155"/>
      <c r="L69" s="155"/>
      <c r="M69" s="155"/>
      <c r="N69" s="155"/>
      <c r="O69" s="151"/>
      <c r="P69" s="151"/>
      <c r="Q69" s="67" t="s">
        <v>126</v>
      </c>
    </row>
    <row r="70" spans="1:17" s="5" customFormat="1">
      <c r="A70" s="166"/>
      <c r="B70" s="169"/>
      <c r="C70" s="155"/>
      <c r="D70" s="159"/>
      <c r="E70" s="172"/>
      <c r="F70" s="37" t="s">
        <v>40</v>
      </c>
      <c r="G70" s="37">
        <v>40</v>
      </c>
      <c r="H70" s="37" t="str">
        <f>IFERROR(IF(F70="실링",G70/2000,IF(F70="골드",INT(G70*(1-0.01*IF(Q70="배틀아이템",검색!$I$22,IF(Q70="요리",검색!$J$22,IF(Q70="특수",검색!$K$22,IF(Q70="생활도구",검색!$L$22,"")))))),VLOOKUP(F70,'거래소 최저가'!A:B,2,FALSE)*G70/VLOOKUP(F70,'거래소 최저가'!A:D,4,FALSE))),"")</f>
        <v/>
      </c>
      <c r="I70" s="155"/>
      <c r="J70" s="155"/>
      <c r="K70" s="155"/>
      <c r="L70" s="155"/>
      <c r="M70" s="155"/>
      <c r="N70" s="155"/>
      <c r="O70" s="151"/>
      <c r="P70" s="151"/>
      <c r="Q70" s="67" t="s">
        <v>126</v>
      </c>
    </row>
    <row r="71" spans="1:17" s="5" customFormat="1">
      <c r="A71" s="166"/>
      <c r="B71" s="169"/>
      <c r="C71" s="155"/>
      <c r="D71" s="159"/>
      <c r="E71" s="172"/>
      <c r="F71" s="37" t="s">
        <v>41</v>
      </c>
      <c r="G71" s="37">
        <v>48</v>
      </c>
      <c r="H71" s="37" t="str">
        <f>IFERROR(IF(F71="실링",G71/2000,IF(F71="골드",INT(G71*(1-0.01*IF(Q71="배틀아이템",검색!$I$22,IF(Q71="요리",검색!$J$22,IF(Q71="특수",검색!$K$22,IF(Q71="생활도구",검색!$L$22,"")))))),VLOOKUP(F71,'거래소 최저가'!A:B,2,FALSE)*G71/VLOOKUP(F71,'거래소 최저가'!A:D,4,FALSE))),"")</f>
        <v/>
      </c>
      <c r="I71" s="155"/>
      <c r="J71" s="155"/>
      <c r="K71" s="155"/>
      <c r="L71" s="155"/>
      <c r="M71" s="155"/>
      <c r="N71" s="155"/>
      <c r="O71" s="151"/>
      <c r="P71" s="151"/>
      <c r="Q71" s="67" t="s">
        <v>126</v>
      </c>
    </row>
    <row r="72" spans="1:17" s="5" customFormat="1">
      <c r="A72" s="166"/>
      <c r="B72" s="169"/>
      <c r="C72" s="155"/>
      <c r="D72" s="159"/>
      <c r="E72" s="172"/>
      <c r="F72" s="37" t="s">
        <v>28</v>
      </c>
      <c r="G72" s="37">
        <v>10</v>
      </c>
      <c r="H72" s="37" t="str">
        <f>IFERROR(IF(F72="실링",G72/2000,IF(F72="골드",INT(G72*(1-0.01*IF(Q72="배틀아이템",검색!$I$22,IF(Q72="요리",검색!$J$22,IF(Q72="특수",검색!$K$22,IF(Q72="생활도구",검색!$L$22,"")))))),VLOOKUP(F72,'거래소 최저가'!A:B,2,FALSE)*G72/VLOOKUP(F72,'거래소 최저가'!A:D,4,FALSE))),"")</f>
        <v/>
      </c>
      <c r="I72" s="155"/>
      <c r="J72" s="155"/>
      <c r="K72" s="155"/>
      <c r="L72" s="155"/>
      <c r="M72" s="155"/>
      <c r="N72" s="155"/>
      <c r="O72" s="151"/>
      <c r="P72" s="151"/>
      <c r="Q72" s="67" t="s">
        <v>126</v>
      </c>
    </row>
    <row r="73" spans="1:17" s="5" customFormat="1">
      <c r="A73" s="166"/>
      <c r="B73" s="169"/>
      <c r="C73" s="155"/>
      <c r="D73" s="159"/>
      <c r="E73" s="172"/>
      <c r="F73" s="37" t="s">
        <v>24</v>
      </c>
      <c r="G73" s="37">
        <v>12</v>
      </c>
      <c r="H73" s="37" t="str">
        <f>IFERROR(IF(F73="실링",G73/2000,IF(F73="골드",INT(G73*(1-0.01*IF(Q73="배틀아이템",검색!$I$22,IF(Q73="요리",검색!$J$22,IF(Q73="특수",검색!$K$22,IF(Q73="생활도구",검색!$L$22,"")))))),VLOOKUP(F73,'거래소 최저가'!A:B,2,FALSE)*G73/VLOOKUP(F73,'거래소 최저가'!A:D,4,FALSE))),"")</f>
        <v/>
      </c>
      <c r="I73" s="155"/>
      <c r="J73" s="155"/>
      <c r="K73" s="155"/>
      <c r="L73" s="155"/>
      <c r="M73" s="155"/>
      <c r="N73" s="155"/>
      <c r="O73" s="151"/>
      <c r="P73" s="151"/>
      <c r="Q73" s="67" t="s">
        <v>126</v>
      </c>
    </row>
    <row r="74" spans="1:17" s="5" customFormat="1" ht="17.25" thickBot="1">
      <c r="A74" s="167"/>
      <c r="B74" s="170"/>
      <c r="C74" s="156"/>
      <c r="D74" s="160"/>
      <c r="E74" s="173"/>
      <c r="F74" s="38" t="s">
        <v>18</v>
      </c>
      <c r="G74" s="38">
        <v>50</v>
      </c>
      <c r="H74" s="38">
        <f>IFERROR(IF(F74="실링",G74/2000,IF(F74="골드",INT(G74*(1-0.01*IF(Q74="배틀아이템",검색!$I$22,IF(Q74="요리",검색!$J$22,IF(Q74="특수",검색!$K$22,IF(Q74="생활도구",검색!$L$22,"")))))),VLOOKUP(F74,'거래소 최저가'!A:B,2,FALSE)*G74/VLOOKUP(F74,'거래소 최저가'!A:D,4,FALSE))),"")</f>
        <v>50</v>
      </c>
      <c r="I74" s="156"/>
      <c r="J74" s="156"/>
      <c r="K74" s="156"/>
      <c r="L74" s="156"/>
      <c r="M74" s="156"/>
      <c r="N74" s="156"/>
      <c r="O74" s="152"/>
      <c r="P74" s="152"/>
      <c r="Q74" s="69" t="s">
        <v>126</v>
      </c>
    </row>
    <row r="75" spans="1:17" s="5" customFormat="1">
      <c r="A75" s="165" t="s">
        <v>44</v>
      </c>
      <c r="B75" s="168" t="str">
        <f t="shared" si="6"/>
        <v>제작</v>
      </c>
      <c r="C75" s="154" t="str">
        <f>IFERROR(VLOOKUP(A75,'거래소 최저가'!F:G,2,FALSE),"")</f>
        <v/>
      </c>
      <c r="D75" s="161" t="str">
        <f t="shared" si="16"/>
        <v/>
      </c>
      <c r="E75" s="171">
        <f t="shared" si="7"/>
        <v>10</v>
      </c>
      <c r="F75" s="36" t="s">
        <v>10</v>
      </c>
      <c r="G75" s="36">
        <v>40</v>
      </c>
      <c r="H75" s="36" t="str">
        <f>IFERROR(IF(F75="실링",G75/2000,IF(F75="골드",INT(G75*(1-0.01*IF(Q75="배틀아이템",검색!$I$22,IF(Q75="요리",검색!$J$22,IF(Q75="특수",검색!$K$22,IF(Q75="생활도구",검색!$L$22,"")))))),VLOOKUP(F75,'거래소 최저가'!A:B,2,FALSE)*G75/VLOOKUP(F75,'거래소 최저가'!A:D,4,FALSE))),"")</f>
        <v/>
      </c>
      <c r="I75" s="154">
        <f>IF(ISBLANK(A75),"",SUM(H75:H$207)-SUM(I76:I$207))</f>
        <v>30</v>
      </c>
      <c r="J75" s="154">
        <v>288</v>
      </c>
      <c r="K75" s="154">
        <f>IF(J75=1,1,INT(J75*(1-IF(Q75="배틀아이템",검색!$I$23,IF(Q75="요리",검색!$J$23,IF(Q75="특수",검색!$K$23,IF(Q75="생활도구",검색!$L$23))))*0.01)))</f>
        <v>288</v>
      </c>
      <c r="L75" s="154">
        <v>3</v>
      </c>
      <c r="M75" s="154">
        <f>L75*(1+0.01*IF(Q75="배틀아이템",검색!$I$21,IF(Q75="요리",검색!$J$21,IF(Q75="특수",검색!$K$21,IF(Q75="생활도구",검색!$L$21)))))</f>
        <v>3</v>
      </c>
      <c r="N75" s="154" t="str">
        <f t="shared" si="17"/>
        <v/>
      </c>
      <c r="O75" s="150" t="e">
        <f t="shared" si="8"/>
        <v>#VALUE!</v>
      </c>
      <c r="P75" s="150" t="e">
        <f t="shared" si="18"/>
        <v>#VALUE!</v>
      </c>
      <c r="Q75" s="66" t="s">
        <v>125</v>
      </c>
    </row>
    <row r="76" spans="1:17" s="5" customFormat="1">
      <c r="A76" s="175"/>
      <c r="B76" s="169"/>
      <c r="C76" s="155"/>
      <c r="D76" s="159"/>
      <c r="E76" s="172"/>
      <c r="F76" s="37" t="s">
        <v>31</v>
      </c>
      <c r="G76" s="37">
        <v>4</v>
      </c>
      <c r="H76" s="37" t="str">
        <f>IFERROR(IF(F76="실링",G76/2000,IF(F76="골드",INT(G76*(1-0.01*IF(Q76="배틀아이템",검색!$I$22,IF(Q76="요리",검색!$J$22,IF(Q76="특수",검색!$K$22,IF(Q76="생활도구",검색!$L$22,"")))))),VLOOKUP(F76,'거래소 최저가'!A:B,2,FALSE)*G76/VLOOKUP(F76,'거래소 최저가'!A:D,4,FALSE))),"")</f>
        <v/>
      </c>
      <c r="I76" s="155"/>
      <c r="J76" s="155"/>
      <c r="K76" s="155"/>
      <c r="L76" s="155"/>
      <c r="M76" s="155"/>
      <c r="N76" s="155"/>
      <c r="O76" s="151"/>
      <c r="P76" s="151"/>
      <c r="Q76" s="67" t="s">
        <v>125</v>
      </c>
    </row>
    <row r="77" spans="1:17" s="5" customFormat="1">
      <c r="A77" s="175"/>
      <c r="B77" s="169"/>
      <c r="C77" s="155"/>
      <c r="D77" s="159"/>
      <c r="E77" s="172"/>
      <c r="F77" s="37" t="s">
        <v>45</v>
      </c>
      <c r="G77" s="37">
        <v>2</v>
      </c>
      <c r="H77" s="37" t="str">
        <f>IFERROR(IF(F77="실링",G77/2000,IF(F77="골드",INT(G77*(1-0.01*IF(Q77="배틀아이템",검색!$I$22,IF(Q77="요리",검색!$J$22,IF(Q77="특수",검색!$K$22,IF(Q77="생활도구",검색!$L$22,"")))))),VLOOKUP(F77,'거래소 최저가'!A:B,2,FALSE)*G77/VLOOKUP(F77,'거래소 최저가'!A:D,4,FALSE))),"")</f>
        <v/>
      </c>
      <c r="I77" s="155"/>
      <c r="J77" s="155"/>
      <c r="K77" s="155"/>
      <c r="L77" s="155"/>
      <c r="M77" s="155"/>
      <c r="N77" s="155"/>
      <c r="O77" s="151"/>
      <c r="P77" s="151"/>
      <c r="Q77" s="67" t="s">
        <v>125</v>
      </c>
    </row>
    <row r="78" spans="1:17" s="5" customFormat="1">
      <c r="A78" s="175"/>
      <c r="B78" s="169"/>
      <c r="C78" s="155"/>
      <c r="D78" s="159"/>
      <c r="E78" s="172"/>
      <c r="F78" s="37" t="s">
        <v>11</v>
      </c>
      <c r="G78" s="37">
        <v>20</v>
      </c>
      <c r="H78" s="37" t="str">
        <f>IFERROR(IF(F78="실링",G78/2000,IF(F78="골드",INT(G78*(1-0.01*IF(Q78="배틀아이템",검색!$I$22,IF(Q78="요리",검색!$J$22,IF(Q78="특수",검색!$K$22,IF(Q78="생활도구",검색!$L$22,"")))))),VLOOKUP(F78,'거래소 최저가'!A:B,2,FALSE)*G78/VLOOKUP(F78,'거래소 최저가'!A:D,4,FALSE))),"")</f>
        <v/>
      </c>
      <c r="I78" s="155"/>
      <c r="J78" s="155"/>
      <c r="K78" s="155"/>
      <c r="L78" s="155"/>
      <c r="M78" s="155"/>
      <c r="N78" s="155"/>
      <c r="O78" s="151"/>
      <c r="P78" s="151"/>
      <c r="Q78" s="67" t="s">
        <v>125</v>
      </c>
    </row>
    <row r="79" spans="1:17" s="5" customFormat="1">
      <c r="A79" s="175"/>
      <c r="B79" s="169"/>
      <c r="C79" s="155"/>
      <c r="D79" s="159"/>
      <c r="E79" s="172"/>
      <c r="F79" s="37" t="s">
        <v>12</v>
      </c>
      <c r="G79" s="37">
        <v>5</v>
      </c>
      <c r="H79" s="37" t="str">
        <f>IFERROR(IF(F79="실링",G79/2000,IF(F79="골드",INT(G79*(1-0.01*IF(Q79="배틀아이템",검색!$I$22,IF(Q79="요리",검색!$J$22,IF(Q79="특수",검색!$K$22,IF(Q79="생활도구",검색!$L$22,"")))))),VLOOKUP(F79,'거래소 최저가'!A:B,2,FALSE)*G79/VLOOKUP(F79,'거래소 최저가'!A:D,4,FALSE))),"")</f>
        <v/>
      </c>
      <c r="I79" s="155"/>
      <c r="J79" s="155"/>
      <c r="K79" s="155"/>
      <c r="L79" s="155"/>
      <c r="M79" s="155"/>
      <c r="N79" s="155"/>
      <c r="O79" s="151"/>
      <c r="P79" s="151"/>
      <c r="Q79" s="67" t="s">
        <v>125</v>
      </c>
    </row>
    <row r="80" spans="1:17" s="5" customFormat="1" ht="17.25" thickBot="1">
      <c r="A80" s="176"/>
      <c r="B80" s="170"/>
      <c r="C80" s="156"/>
      <c r="D80" s="160"/>
      <c r="E80" s="173"/>
      <c r="F80" s="38" t="s">
        <v>18</v>
      </c>
      <c r="G80" s="38">
        <v>30</v>
      </c>
      <c r="H80" s="38">
        <f>IFERROR(IF(F80="실링",G80/2000,IF(F80="골드",INT(G80*(1-0.01*IF(Q80="배틀아이템",검색!$I$22,IF(Q80="요리",검색!$J$22,IF(Q80="특수",검색!$K$22,IF(Q80="생활도구",검색!$L$22,"")))))),VLOOKUP(F80,'거래소 최저가'!A:B,2,FALSE)*G80/VLOOKUP(F80,'거래소 최저가'!A:D,4,FALSE))),"")</f>
        <v>30</v>
      </c>
      <c r="I80" s="156"/>
      <c r="J80" s="156"/>
      <c r="K80" s="156"/>
      <c r="L80" s="156"/>
      <c r="M80" s="156"/>
      <c r="N80" s="156"/>
      <c r="O80" s="152"/>
      <c r="P80" s="152"/>
      <c r="Q80" s="69" t="s">
        <v>125</v>
      </c>
    </row>
    <row r="81" spans="1:17" s="5" customFormat="1">
      <c r="A81" s="165" t="s">
        <v>46</v>
      </c>
      <c r="B81" s="168" t="str">
        <f t="shared" ref="B81:B112" si="19">IFERROR(IF(ISBLANK(A81),"",IF(C81&gt;E81,"제작","구매")),"")</f>
        <v>제작</v>
      </c>
      <c r="C81" s="154" t="str">
        <f>IFERROR(VLOOKUP(A81,'거래소 최저가'!F:G,2,FALSE),"")</f>
        <v/>
      </c>
      <c r="D81" s="161" t="str">
        <f t="shared" si="16"/>
        <v/>
      </c>
      <c r="E81" s="171">
        <f t="shared" ref="E81:E112" si="20">IFERROR(IF(ISBLANK(A81),"",I81/L81),"")</f>
        <v>10</v>
      </c>
      <c r="F81" s="36" t="s">
        <v>0</v>
      </c>
      <c r="G81" s="36">
        <v>48</v>
      </c>
      <c r="H81" s="36" t="str">
        <f>IFERROR(IF(F81="실링",G81/2000,IF(F81="골드",INT(G81*(1-0.01*IF(Q81="배틀아이템",검색!$I$22,IF(Q81="요리",검색!$J$22,IF(Q81="특수",검색!$K$22,IF(Q81="생활도구",검색!$L$22,"")))))),VLOOKUP(F81,'거래소 최저가'!A:B,2,FALSE)*G81/VLOOKUP(F81,'거래소 최저가'!A:D,4,FALSE))),"")</f>
        <v/>
      </c>
      <c r="I81" s="154">
        <f>IF(ISBLANK(A81),"",SUM(H81:H$207)-SUM(I82:I$207))</f>
        <v>30</v>
      </c>
      <c r="J81" s="154">
        <v>288</v>
      </c>
      <c r="K81" s="154">
        <f>IF(J81=1,1,INT(J81*(1-IF(Q81="배틀아이템",검색!$I$23,IF(Q81="요리",검색!$J$23,IF(Q81="특수",검색!$K$23,IF(Q81="생활도구",검색!$L$23))))*0.01)))</f>
        <v>288</v>
      </c>
      <c r="L81" s="154">
        <v>3</v>
      </c>
      <c r="M81" s="154">
        <f>L81*(1+0.01*IF(Q81="배틀아이템",검색!$I$21,IF(Q81="요리",검색!$J$21,IF(Q81="특수",검색!$K$21,IF(Q81="생활도구",검색!$L$21)))))</f>
        <v>3</v>
      </c>
      <c r="N81" s="154" t="str">
        <f t="shared" si="17"/>
        <v/>
      </c>
      <c r="O81" s="150" t="e">
        <f t="shared" ref="O81:O112" si="21">N81*10000</f>
        <v>#VALUE!</v>
      </c>
      <c r="P81" s="150" t="e">
        <f t="shared" si="18"/>
        <v>#VALUE!</v>
      </c>
      <c r="Q81" s="66" t="s">
        <v>125</v>
      </c>
    </row>
    <row r="82" spans="1:17" s="5" customFormat="1">
      <c r="A82" s="175"/>
      <c r="B82" s="169"/>
      <c r="C82" s="155"/>
      <c r="D82" s="159"/>
      <c r="E82" s="172"/>
      <c r="F82" s="37" t="s">
        <v>31</v>
      </c>
      <c r="G82" s="37">
        <v>2</v>
      </c>
      <c r="H82" s="37" t="str">
        <f>IFERROR(IF(F82="실링",G82/2000,IF(F82="골드",INT(G82*(1-0.01*IF(Q82="배틀아이템",검색!$I$22,IF(Q82="요리",검색!$J$22,IF(Q82="특수",검색!$K$22,IF(Q82="생활도구",검색!$L$22,"")))))),VLOOKUP(F82,'거래소 최저가'!A:B,2,FALSE)*G82/VLOOKUP(F82,'거래소 최저가'!A:D,4,FALSE))),"")</f>
        <v/>
      </c>
      <c r="I82" s="155"/>
      <c r="J82" s="155"/>
      <c r="K82" s="155"/>
      <c r="L82" s="155"/>
      <c r="M82" s="155"/>
      <c r="N82" s="155"/>
      <c r="O82" s="151"/>
      <c r="P82" s="151"/>
      <c r="Q82" s="67" t="s">
        <v>125</v>
      </c>
    </row>
    <row r="83" spans="1:17" s="5" customFormat="1">
      <c r="A83" s="175"/>
      <c r="B83" s="169"/>
      <c r="C83" s="155"/>
      <c r="D83" s="159"/>
      <c r="E83" s="172"/>
      <c r="F83" s="37" t="s">
        <v>7</v>
      </c>
      <c r="G83" s="37">
        <v>24</v>
      </c>
      <c r="H83" s="37" t="str">
        <f>IFERROR(IF(F83="실링",G83/2000,IF(F83="골드",INT(G83*(1-0.01*IF(Q83="배틀아이템",검색!$I$22,IF(Q83="요리",검색!$J$22,IF(Q83="특수",검색!$K$22,IF(Q83="생활도구",검색!$L$22,"")))))),VLOOKUP(F83,'거래소 최저가'!A:B,2,FALSE)*G83/VLOOKUP(F83,'거래소 최저가'!A:D,4,FALSE))),"")</f>
        <v/>
      </c>
      <c r="I83" s="155"/>
      <c r="J83" s="155"/>
      <c r="K83" s="155"/>
      <c r="L83" s="155"/>
      <c r="M83" s="155"/>
      <c r="N83" s="155"/>
      <c r="O83" s="151"/>
      <c r="P83" s="151"/>
      <c r="Q83" s="67" t="s">
        <v>125</v>
      </c>
    </row>
    <row r="84" spans="1:17" s="5" customFormat="1">
      <c r="A84" s="175"/>
      <c r="B84" s="169"/>
      <c r="C84" s="155"/>
      <c r="D84" s="159"/>
      <c r="E84" s="172"/>
      <c r="F84" s="37" t="s">
        <v>47</v>
      </c>
      <c r="G84" s="37">
        <v>2</v>
      </c>
      <c r="H84" s="37" t="str">
        <f>IFERROR(IF(F84="실링",G84/2000,IF(F84="골드",INT(G84*(1-0.01*IF(Q84="배틀아이템",검색!$I$22,IF(Q84="요리",검색!$J$22,IF(Q84="특수",검색!$K$22,IF(Q84="생활도구",검색!$L$22,"")))))),VLOOKUP(F84,'거래소 최저가'!A:B,2,FALSE)*G84/VLOOKUP(F84,'거래소 최저가'!A:D,4,FALSE))),"")</f>
        <v/>
      </c>
      <c r="I84" s="155"/>
      <c r="J84" s="155"/>
      <c r="K84" s="155"/>
      <c r="L84" s="155"/>
      <c r="M84" s="155"/>
      <c r="N84" s="155"/>
      <c r="O84" s="151"/>
      <c r="P84" s="151"/>
      <c r="Q84" s="67" t="s">
        <v>125</v>
      </c>
    </row>
    <row r="85" spans="1:17" s="5" customFormat="1">
      <c r="A85" s="175"/>
      <c r="B85" s="169"/>
      <c r="C85" s="155"/>
      <c r="D85" s="159"/>
      <c r="E85" s="172"/>
      <c r="F85" s="37" t="s">
        <v>17</v>
      </c>
      <c r="G85" s="37">
        <v>6</v>
      </c>
      <c r="H85" s="37" t="str">
        <f>IFERROR(IF(F85="실링",G85/2000,IF(F85="골드",INT(G85*(1-0.01*IF(Q85="배틀아이템",검색!$I$22,IF(Q85="요리",검색!$J$22,IF(Q85="특수",검색!$K$22,IF(Q85="생활도구",검색!$L$22,"")))))),VLOOKUP(F85,'거래소 최저가'!A:B,2,FALSE)*G85/VLOOKUP(F85,'거래소 최저가'!A:D,4,FALSE))),"")</f>
        <v/>
      </c>
      <c r="I85" s="155"/>
      <c r="J85" s="155"/>
      <c r="K85" s="155"/>
      <c r="L85" s="155"/>
      <c r="M85" s="155"/>
      <c r="N85" s="155"/>
      <c r="O85" s="151"/>
      <c r="P85" s="151"/>
      <c r="Q85" s="67" t="s">
        <v>125</v>
      </c>
    </row>
    <row r="86" spans="1:17" s="5" customFormat="1" ht="17.25" thickBot="1">
      <c r="A86" s="176"/>
      <c r="B86" s="170"/>
      <c r="C86" s="156"/>
      <c r="D86" s="160"/>
      <c r="E86" s="173"/>
      <c r="F86" s="38" t="s">
        <v>18</v>
      </c>
      <c r="G86" s="38">
        <v>30</v>
      </c>
      <c r="H86" s="38">
        <f>IFERROR(IF(F86="실링",G86/2000,IF(F86="골드",INT(G86*(1-0.01*IF(Q86="배틀아이템",검색!$I$22,IF(Q86="요리",검색!$J$22,IF(Q86="특수",검색!$K$22,IF(Q86="생활도구",검색!$L$22,"")))))),VLOOKUP(F86,'거래소 최저가'!A:B,2,FALSE)*G86/VLOOKUP(F86,'거래소 최저가'!A:D,4,FALSE))),"")</f>
        <v>30</v>
      </c>
      <c r="I86" s="156"/>
      <c r="J86" s="156"/>
      <c r="K86" s="156"/>
      <c r="L86" s="156"/>
      <c r="M86" s="156"/>
      <c r="N86" s="156"/>
      <c r="O86" s="152"/>
      <c r="P86" s="152"/>
      <c r="Q86" s="69" t="s">
        <v>125</v>
      </c>
    </row>
    <row r="87" spans="1:17" s="5" customFormat="1">
      <c r="A87" s="165" t="s">
        <v>48</v>
      </c>
      <c r="B87" s="168" t="str">
        <f t="shared" si="19"/>
        <v>제작</v>
      </c>
      <c r="C87" s="154" t="str">
        <f>IFERROR(VLOOKUP(A87,'거래소 최저가'!F:G,2,FALSE),"")</f>
        <v/>
      </c>
      <c r="D87" s="161" t="str">
        <f t="shared" si="16"/>
        <v/>
      </c>
      <c r="E87" s="171">
        <f t="shared" si="20"/>
        <v>10</v>
      </c>
      <c r="F87" s="36" t="s">
        <v>0</v>
      </c>
      <c r="G87" s="36">
        <v>40</v>
      </c>
      <c r="H87" s="36" t="str">
        <f>IFERROR(IF(F87="실링",G87/2000,IF(F87="골드",INT(G87*(1-0.01*IF(Q87="배틀아이템",검색!$I$22,IF(Q87="요리",검색!$J$22,IF(Q87="특수",검색!$K$22,IF(Q87="생활도구",검색!$L$22,"")))))),VLOOKUP(F87,'거래소 최저가'!A:B,2,FALSE)*G87/VLOOKUP(F87,'거래소 최저가'!A:D,4,FALSE))),"")</f>
        <v/>
      </c>
      <c r="I87" s="154">
        <f>IF(ISBLANK(A87),"",SUM(H87:H$207)-SUM(I88:I$207))</f>
        <v>30</v>
      </c>
      <c r="J87" s="154">
        <v>288</v>
      </c>
      <c r="K87" s="154">
        <f>IF(J87=1,1,INT(J87*(1-IF(Q87="배틀아이템",검색!$I$23,IF(Q87="요리",검색!$J$23,IF(Q87="특수",검색!$K$23,IF(Q87="생활도구",검색!$L$23))))*0.01)))</f>
        <v>288</v>
      </c>
      <c r="L87" s="154">
        <v>3</v>
      </c>
      <c r="M87" s="154">
        <f>L87*(1+0.01*IF(Q87="배틀아이템",검색!$I$21,IF(Q87="요리",검색!$J$21,IF(Q87="특수",검색!$K$21,IF(Q87="생활도구",검색!$L$21)))))</f>
        <v>3</v>
      </c>
      <c r="N87" s="154" t="str">
        <f t="shared" si="17"/>
        <v/>
      </c>
      <c r="O87" s="150" t="e">
        <f t="shared" si="21"/>
        <v>#VALUE!</v>
      </c>
      <c r="P87" s="150" t="e">
        <f t="shared" si="18"/>
        <v>#VALUE!</v>
      </c>
      <c r="Q87" s="66" t="s">
        <v>125</v>
      </c>
    </row>
    <row r="88" spans="1:17" s="5" customFormat="1">
      <c r="A88" s="175"/>
      <c r="B88" s="169"/>
      <c r="C88" s="155"/>
      <c r="D88" s="159"/>
      <c r="E88" s="172"/>
      <c r="F88" s="37" t="s">
        <v>31</v>
      </c>
      <c r="G88" s="37">
        <v>2</v>
      </c>
      <c r="H88" s="37" t="str">
        <f>IFERROR(IF(F88="실링",G88/2000,IF(F88="골드",INT(G88*(1-0.01*IF(Q88="배틀아이템",검색!$I$22,IF(Q88="요리",검색!$J$22,IF(Q88="특수",검색!$K$22,IF(Q88="생활도구",검색!$L$22,"")))))),VLOOKUP(F88,'거래소 최저가'!A:B,2,FALSE)*G88/VLOOKUP(F88,'거래소 최저가'!A:D,4,FALSE))),"")</f>
        <v/>
      </c>
      <c r="I88" s="155"/>
      <c r="J88" s="155"/>
      <c r="K88" s="155"/>
      <c r="L88" s="155"/>
      <c r="M88" s="155"/>
      <c r="N88" s="155"/>
      <c r="O88" s="151"/>
      <c r="P88" s="151"/>
      <c r="Q88" s="67" t="s">
        <v>125</v>
      </c>
    </row>
    <row r="89" spans="1:17" s="5" customFormat="1">
      <c r="A89" s="175"/>
      <c r="B89" s="169"/>
      <c r="C89" s="155"/>
      <c r="D89" s="159"/>
      <c r="E89" s="172"/>
      <c r="F89" s="37" t="s">
        <v>7</v>
      </c>
      <c r="G89" s="37">
        <v>20</v>
      </c>
      <c r="H89" s="37" t="str">
        <f>IFERROR(IF(F89="실링",G89/2000,IF(F89="골드",INT(G89*(1-0.01*IF(Q89="배틀아이템",검색!$I$22,IF(Q89="요리",검색!$J$22,IF(Q89="특수",검색!$K$22,IF(Q89="생활도구",검색!$L$22,"")))))),VLOOKUP(F89,'거래소 최저가'!A:B,2,FALSE)*G89/VLOOKUP(F89,'거래소 최저가'!A:D,4,FALSE))),"")</f>
        <v/>
      </c>
      <c r="I89" s="155"/>
      <c r="J89" s="155"/>
      <c r="K89" s="155"/>
      <c r="L89" s="155"/>
      <c r="M89" s="155"/>
      <c r="N89" s="155"/>
      <c r="O89" s="151"/>
      <c r="P89" s="151"/>
      <c r="Q89" s="67" t="s">
        <v>125</v>
      </c>
    </row>
    <row r="90" spans="1:17" s="5" customFormat="1">
      <c r="A90" s="175"/>
      <c r="B90" s="169"/>
      <c r="C90" s="155"/>
      <c r="D90" s="159"/>
      <c r="E90" s="172"/>
      <c r="F90" s="37" t="s">
        <v>45</v>
      </c>
      <c r="G90" s="37">
        <v>2</v>
      </c>
      <c r="H90" s="37" t="str">
        <f>IFERROR(IF(F90="실링",G90/2000,IF(F90="골드",INT(G90*(1-0.01*IF(Q90="배틀아이템",검색!$I$22,IF(Q90="요리",검색!$J$22,IF(Q90="특수",검색!$K$22,IF(Q90="생활도구",검색!$L$22,"")))))),VLOOKUP(F90,'거래소 최저가'!A:B,2,FALSE)*G90/VLOOKUP(F90,'거래소 최저가'!A:D,4,FALSE))),"")</f>
        <v/>
      </c>
      <c r="I90" s="155"/>
      <c r="J90" s="155"/>
      <c r="K90" s="155"/>
      <c r="L90" s="155"/>
      <c r="M90" s="155"/>
      <c r="N90" s="155"/>
      <c r="O90" s="151"/>
      <c r="P90" s="151"/>
      <c r="Q90" s="67" t="s">
        <v>125</v>
      </c>
    </row>
    <row r="91" spans="1:17" s="5" customFormat="1">
      <c r="A91" s="175"/>
      <c r="B91" s="169"/>
      <c r="C91" s="155"/>
      <c r="D91" s="159"/>
      <c r="E91" s="172"/>
      <c r="F91" s="37" t="s">
        <v>17</v>
      </c>
      <c r="G91" s="37">
        <v>5</v>
      </c>
      <c r="H91" s="37" t="str">
        <f>IFERROR(IF(F91="실링",G91/2000,IF(F91="골드",INT(G91*(1-0.01*IF(Q91="배틀아이템",검색!$I$22,IF(Q91="요리",검색!$J$22,IF(Q91="특수",검색!$K$22,IF(Q91="생활도구",검색!$L$22,"")))))),VLOOKUP(F91,'거래소 최저가'!A:B,2,FALSE)*G91/VLOOKUP(F91,'거래소 최저가'!A:D,4,FALSE))),"")</f>
        <v/>
      </c>
      <c r="I91" s="155"/>
      <c r="J91" s="155"/>
      <c r="K91" s="155"/>
      <c r="L91" s="155"/>
      <c r="M91" s="155"/>
      <c r="N91" s="155"/>
      <c r="O91" s="151"/>
      <c r="P91" s="151"/>
      <c r="Q91" s="67" t="s">
        <v>125</v>
      </c>
    </row>
    <row r="92" spans="1:17" s="5" customFormat="1" ht="17.25" thickBot="1">
      <c r="A92" s="176"/>
      <c r="B92" s="170"/>
      <c r="C92" s="156"/>
      <c r="D92" s="160"/>
      <c r="E92" s="173"/>
      <c r="F92" s="38" t="s">
        <v>18</v>
      </c>
      <c r="G92" s="38">
        <v>30</v>
      </c>
      <c r="H92" s="38">
        <f>IFERROR(IF(F92="실링",G92/2000,IF(F92="골드",INT(G92*(1-0.01*IF(Q92="배틀아이템",검색!$I$22,IF(Q92="요리",검색!$J$22,IF(Q92="특수",검색!$K$22,IF(Q92="생활도구",검색!$L$22,"")))))),VLOOKUP(F92,'거래소 최저가'!A:B,2,FALSE)*G92/VLOOKUP(F92,'거래소 최저가'!A:D,4,FALSE))),"")</f>
        <v>30</v>
      </c>
      <c r="I92" s="156"/>
      <c r="J92" s="156"/>
      <c r="K92" s="156"/>
      <c r="L92" s="156"/>
      <c r="M92" s="156"/>
      <c r="N92" s="156"/>
      <c r="O92" s="152"/>
      <c r="P92" s="152"/>
      <c r="Q92" s="69" t="s">
        <v>125</v>
      </c>
    </row>
    <row r="93" spans="1:17" s="5" customFormat="1">
      <c r="A93" s="165" t="s">
        <v>55</v>
      </c>
      <c r="B93" s="168" t="str">
        <f t="shared" si="19"/>
        <v>제작</v>
      </c>
      <c r="C93" s="154" t="str">
        <f>IFERROR(VLOOKUP(A93,'거래소 최저가'!F:G,2,FALSE),"")</f>
        <v/>
      </c>
      <c r="D93" s="161" t="str">
        <f t="shared" si="16"/>
        <v/>
      </c>
      <c r="E93" s="171">
        <f t="shared" si="20"/>
        <v>5</v>
      </c>
      <c r="F93" s="36" t="s">
        <v>10</v>
      </c>
      <c r="G93" s="36">
        <v>24</v>
      </c>
      <c r="H93" s="36" t="str">
        <f>IFERROR(IF(F93="실링",G93/2000,IF(F93="골드",INT(G93*(1-0.01*IF(Q93="배틀아이템",검색!$I$22,IF(Q93="요리",검색!$J$22,IF(Q93="특수",검색!$K$22,IF(Q93="생활도구",검색!$L$22,"")))))),VLOOKUP(F93,'거래소 최저가'!A:B,2,FALSE)*G93/VLOOKUP(F93,'거래소 최저가'!A:D,4,FALSE))),"")</f>
        <v/>
      </c>
      <c r="I93" s="154">
        <f>IF(ISBLANK(A93),"",SUM(H93:H$207)-SUM(I94:I$207))</f>
        <v>15</v>
      </c>
      <c r="J93" s="154">
        <v>144</v>
      </c>
      <c r="K93" s="154">
        <f>IF(J93=1,1,INT(J93*(1-IF(Q93="배틀아이템",검색!$I$23,IF(Q93="요리",검색!$J$23,IF(Q93="특수",검색!$K$23,IF(Q93="생활도구",검색!$L$23))))*0.01)))</f>
        <v>144</v>
      </c>
      <c r="L93" s="154">
        <v>3</v>
      </c>
      <c r="M93" s="154">
        <f>L93*(1+0.01*IF(Q93="배틀아이템",검색!$I$21,IF(Q93="요리",검색!$J$21,IF(Q93="특수",검색!$K$21,IF(Q93="생활도구",검색!$L$21)))))</f>
        <v>3</v>
      </c>
      <c r="N93" s="154" t="str">
        <f t="shared" si="17"/>
        <v/>
      </c>
      <c r="O93" s="150" t="e">
        <f t="shared" si="21"/>
        <v>#VALUE!</v>
      </c>
      <c r="P93" s="150" t="e">
        <f t="shared" si="18"/>
        <v>#VALUE!</v>
      </c>
      <c r="Q93" s="66" t="s">
        <v>125</v>
      </c>
    </row>
    <row r="94" spans="1:17" s="5" customFormat="1">
      <c r="A94" s="175"/>
      <c r="B94" s="169"/>
      <c r="C94" s="155"/>
      <c r="D94" s="159"/>
      <c r="E94" s="172"/>
      <c r="F94" s="37" t="s">
        <v>56</v>
      </c>
      <c r="G94" s="37">
        <v>3</v>
      </c>
      <c r="H94" s="37" t="str">
        <f>IFERROR(IF(F94="실링",G94/2000,IF(F94="골드",INT(G94*(1-0.01*IF(Q94="배틀아이템",검색!$I$22,IF(Q94="요리",검색!$J$22,IF(Q94="특수",검색!$K$22,IF(Q94="생활도구",검색!$L$22,"")))))),VLOOKUP(F94,'거래소 최저가'!A:B,2,FALSE)*G94/VLOOKUP(F94,'거래소 최저가'!A:D,4,FALSE))),"")</f>
        <v/>
      </c>
      <c r="I94" s="155"/>
      <c r="J94" s="155"/>
      <c r="K94" s="155"/>
      <c r="L94" s="155"/>
      <c r="M94" s="155"/>
      <c r="N94" s="155"/>
      <c r="O94" s="151"/>
      <c r="P94" s="151"/>
      <c r="Q94" s="67" t="s">
        <v>125</v>
      </c>
    </row>
    <row r="95" spans="1:17" s="5" customFormat="1">
      <c r="A95" s="175"/>
      <c r="B95" s="169"/>
      <c r="C95" s="155"/>
      <c r="D95" s="159"/>
      <c r="E95" s="172"/>
      <c r="F95" s="37" t="s">
        <v>11</v>
      </c>
      <c r="G95" s="37">
        <v>12</v>
      </c>
      <c r="H95" s="37" t="str">
        <f>IFERROR(IF(F95="실링",G95/2000,IF(F95="골드",INT(G95*(1-0.01*IF(Q95="배틀아이템",검색!$I$22,IF(Q95="요리",검색!$J$22,IF(Q95="특수",검색!$K$22,IF(Q95="생활도구",검색!$L$22,"")))))),VLOOKUP(F95,'거래소 최저가'!A:B,2,FALSE)*G95/VLOOKUP(F95,'거래소 최저가'!A:D,4,FALSE))),"")</f>
        <v/>
      </c>
      <c r="I95" s="155"/>
      <c r="J95" s="155"/>
      <c r="K95" s="155"/>
      <c r="L95" s="155"/>
      <c r="M95" s="155"/>
      <c r="N95" s="155"/>
      <c r="O95" s="151"/>
      <c r="P95" s="151"/>
      <c r="Q95" s="67" t="s">
        <v>125</v>
      </c>
    </row>
    <row r="96" spans="1:17" s="5" customFormat="1">
      <c r="A96" s="175"/>
      <c r="B96" s="169"/>
      <c r="C96" s="155"/>
      <c r="D96" s="159"/>
      <c r="E96" s="172"/>
      <c r="F96" s="37" t="s">
        <v>12</v>
      </c>
      <c r="G96" s="37">
        <v>3</v>
      </c>
      <c r="H96" s="37" t="str">
        <f>IFERROR(IF(F96="실링",G96/2000,IF(F96="골드",INT(G96*(1-0.01*IF(Q96="배틀아이템",검색!$I$22,IF(Q96="요리",검색!$J$22,IF(Q96="특수",검색!$K$22,IF(Q96="생활도구",검색!$L$22,"")))))),VLOOKUP(F96,'거래소 최저가'!A:B,2,FALSE)*G96/VLOOKUP(F96,'거래소 최저가'!A:D,4,FALSE))),"")</f>
        <v/>
      </c>
      <c r="I96" s="155"/>
      <c r="J96" s="155"/>
      <c r="K96" s="155"/>
      <c r="L96" s="155"/>
      <c r="M96" s="155"/>
      <c r="N96" s="155"/>
      <c r="O96" s="151"/>
      <c r="P96" s="151"/>
      <c r="Q96" s="67" t="s">
        <v>125</v>
      </c>
    </row>
    <row r="97" spans="1:17" s="5" customFormat="1" ht="17.25" thickBot="1">
      <c r="A97" s="176"/>
      <c r="B97" s="170"/>
      <c r="C97" s="156"/>
      <c r="D97" s="160"/>
      <c r="E97" s="173"/>
      <c r="F97" s="38" t="s">
        <v>18</v>
      </c>
      <c r="G97" s="38">
        <v>15</v>
      </c>
      <c r="H97" s="38">
        <f>IFERROR(IF(F97="실링",G97/2000,IF(F97="골드",INT(G97*(1-0.01*IF(Q97="배틀아이템",검색!$I$22,IF(Q97="요리",검색!$J$22,IF(Q97="특수",검색!$K$22,IF(Q97="생활도구",검색!$L$22,"")))))),VLOOKUP(F97,'거래소 최저가'!A:B,2,FALSE)*G97/VLOOKUP(F97,'거래소 최저가'!A:D,4,FALSE))),"")</f>
        <v>15</v>
      </c>
      <c r="I97" s="156"/>
      <c r="J97" s="156"/>
      <c r="K97" s="156"/>
      <c r="L97" s="156"/>
      <c r="M97" s="156"/>
      <c r="N97" s="156"/>
      <c r="O97" s="152"/>
      <c r="P97" s="152"/>
      <c r="Q97" s="69" t="s">
        <v>125</v>
      </c>
    </row>
    <row r="98" spans="1:17" s="5" customFormat="1">
      <c r="A98" s="165" t="s">
        <v>50</v>
      </c>
      <c r="B98" s="168" t="str">
        <f t="shared" si="19"/>
        <v>제작</v>
      </c>
      <c r="C98" s="154" t="str">
        <f>IFERROR(VLOOKUP(A98,'거래소 최저가'!F:G,2,FALSE),"")</f>
        <v/>
      </c>
      <c r="D98" s="161" t="str">
        <f t="shared" si="16"/>
        <v/>
      </c>
      <c r="E98" s="171">
        <f t="shared" si="20"/>
        <v>5</v>
      </c>
      <c r="F98" s="36" t="s">
        <v>10</v>
      </c>
      <c r="G98" s="36">
        <v>24</v>
      </c>
      <c r="H98" s="36" t="str">
        <f>IFERROR(IF(F98="실링",G98/2000,IF(F98="골드",INT(G98*(1-0.01*IF(Q98="배틀아이템",검색!$I$22,IF(Q98="요리",검색!$J$22,IF(Q98="특수",검색!$K$22,IF(Q98="생활도구",검색!$L$22,"")))))),VLOOKUP(F98,'거래소 최저가'!A:B,2,FALSE)*G98/VLOOKUP(F98,'거래소 최저가'!A:D,4,FALSE))),"")</f>
        <v/>
      </c>
      <c r="I98" s="154">
        <f>IF(ISBLANK(A98),"",SUM(H98:H$207)-SUM(I99:I$207))</f>
        <v>15</v>
      </c>
      <c r="J98" s="154">
        <v>144</v>
      </c>
      <c r="K98" s="154">
        <f>IF(J98=1,1,INT(J98*(1-IF(Q98="배틀아이템",검색!$I$23,IF(Q98="요리",검색!$J$23,IF(Q98="특수",검색!$K$23,IF(Q98="생활도구",검색!$L$23))))*0.01)))</f>
        <v>144</v>
      </c>
      <c r="L98" s="154">
        <v>3</v>
      </c>
      <c r="M98" s="154">
        <f>L98*(1+0.01*IF(Q98="배틀아이템",검색!$I$21,IF(Q98="요리",검색!$J$21,IF(Q98="특수",검색!$K$21,IF(Q98="생활도구",검색!$L$21)))))</f>
        <v>3</v>
      </c>
      <c r="N98" s="154" t="str">
        <f t="shared" si="17"/>
        <v/>
      </c>
      <c r="O98" s="150" t="e">
        <f t="shared" si="21"/>
        <v>#VALUE!</v>
      </c>
      <c r="P98" s="150" t="e">
        <f t="shared" si="18"/>
        <v>#VALUE!</v>
      </c>
      <c r="Q98" s="66" t="s">
        <v>125</v>
      </c>
    </row>
    <row r="99" spans="1:17" s="5" customFormat="1">
      <c r="A99" s="175"/>
      <c r="B99" s="169"/>
      <c r="C99" s="155"/>
      <c r="D99" s="159"/>
      <c r="E99" s="172"/>
      <c r="F99" s="37" t="s">
        <v>56</v>
      </c>
      <c r="G99" s="37">
        <v>3</v>
      </c>
      <c r="H99" s="37" t="str">
        <f>IFERROR(IF(F99="실링",G99/2000,IF(F99="골드",INT(G99*(1-0.01*IF(Q99="배틀아이템",검색!$I$22,IF(Q99="요리",검색!$J$22,IF(Q99="특수",검색!$K$22,IF(Q99="생활도구",검색!$L$22,"")))))),VLOOKUP(F99,'거래소 최저가'!A:B,2,FALSE)*G99/VLOOKUP(F99,'거래소 최저가'!A:D,4,FALSE))),"")</f>
        <v/>
      </c>
      <c r="I99" s="155"/>
      <c r="J99" s="155"/>
      <c r="K99" s="155"/>
      <c r="L99" s="155"/>
      <c r="M99" s="155"/>
      <c r="N99" s="155"/>
      <c r="O99" s="151"/>
      <c r="P99" s="151"/>
      <c r="Q99" s="67" t="s">
        <v>125</v>
      </c>
    </row>
    <row r="100" spans="1:17" s="5" customFormat="1">
      <c r="A100" s="175"/>
      <c r="B100" s="169"/>
      <c r="C100" s="155"/>
      <c r="D100" s="159"/>
      <c r="E100" s="172"/>
      <c r="F100" s="37" t="s">
        <v>11</v>
      </c>
      <c r="G100" s="37">
        <v>12</v>
      </c>
      <c r="H100" s="37" t="str">
        <f>IFERROR(IF(F100="실링",G100/2000,IF(F100="골드",INT(G100*(1-0.01*IF(Q100="배틀아이템",검색!$I$22,IF(Q100="요리",검색!$J$22,IF(Q100="특수",검색!$K$22,IF(Q100="생활도구",검색!$L$22,"")))))),VLOOKUP(F100,'거래소 최저가'!A:B,2,FALSE)*G100/VLOOKUP(F100,'거래소 최저가'!A:D,4,FALSE))),"")</f>
        <v/>
      </c>
      <c r="I100" s="155"/>
      <c r="J100" s="155"/>
      <c r="K100" s="155"/>
      <c r="L100" s="155"/>
      <c r="M100" s="155"/>
      <c r="N100" s="155"/>
      <c r="O100" s="151"/>
      <c r="P100" s="151"/>
      <c r="Q100" s="67" t="s">
        <v>125</v>
      </c>
    </row>
    <row r="101" spans="1:17" s="5" customFormat="1">
      <c r="A101" s="175"/>
      <c r="B101" s="169"/>
      <c r="C101" s="155"/>
      <c r="D101" s="159"/>
      <c r="E101" s="172"/>
      <c r="F101" s="37" t="s">
        <v>12</v>
      </c>
      <c r="G101" s="37">
        <v>3</v>
      </c>
      <c r="H101" s="37" t="str">
        <f>IFERROR(IF(F101="실링",G101/2000,IF(F101="골드",INT(G101*(1-0.01*IF(Q101="배틀아이템",검색!$I$22,IF(Q101="요리",검색!$J$22,IF(Q101="특수",검색!$K$22,IF(Q101="생활도구",검색!$L$22,"")))))),VLOOKUP(F101,'거래소 최저가'!A:B,2,FALSE)*G101/VLOOKUP(F101,'거래소 최저가'!A:D,4,FALSE))),"")</f>
        <v/>
      </c>
      <c r="I101" s="155"/>
      <c r="J101" s="155"/>
      <c r="K101" s="155"/>
      <c r="L101" s="155"/>
      <c r="M101" s="155"/>
      <c r="N101" s="155"/>
      <c r="O101" s="151"/>
      <c r="P101" s="151"/>
      <c r="Q101" s="67" t="s">
        <v>125</v>
      </c>
    </row>
    <row r="102" spans="1:17" s="5" customFormat="1" ht="17.25" thickBot="1">
      <c r="A102" s="176"/>
      <c r="B102" s="170"/>
      <c r="C102" s="156"/>
      <c r="D102" s="160"/>
      <c r="E102" s="173"/>
      <c r="F102" s="38" t="s">
        <v>18</v>
      </c>
      <c r="G102" s="38">
        <v>15</v>
      </c>
      <c r="H102" s="38">
        <f>IFERROR(IF(F102="실링",G102/2000,IF(F102="골드",INT(G102*(1-0.01*IF(Q102="배틀아이템",검색!$I$22,IF(Q102="요리",검색!$J$22,IF(Q102="특수",검색!$K$22,IF(Q102="생활도구",검색!$L$22,"")))))),VLOOKUP(F102,'거래소 최저가'!A:B,2,FALSE)*G102/VLOOKUP(F102,'거래소 최저가'!A:D,4,FALSE))),"")</f>
        <v>15</v>
      </c>
      <c r="I102" s="156"/>
      <c r="J102" s="156"/>
      <c r="K102" s="156"/>
      <c r="L102" s="156"/>
      <c r="M102" s="156"/>
      <c r="N102" s="156"/>
      <c r="O102" s="152"/>
      <c r="P102" s="152"/>
      <c r="Q102" s="69" t="s">
        <v>125</v>
      </c>
    </row>
    <row r="103" spans="1:17" s="12" customFormat="1">
      <c r="A103" s="165" t="s">
        <v>51</v>
      </c>
      <c r="B103" s="168" t="str">
        <f t="shared" si="19"/>
        <v>제작</v>
      </c>
      <c r="C103" s="154" t="str">
        <f>IFERROR(VLOOKUP(A103,'거래소 최저가'!F:G,2,FALSE),"")</f>
        <v/>
      </c>
      <c r="D103" s="161" t="str">
        <f t="shared" si="16"/>
        <v/>
      </c>
      <c r="E103" s="171">
        <f t="shared" si="20"/>
        <v>5</v>
      </c>
      <c r="F103" s="36" t="s">
        <v>10</v>
      </c>
      <c r="G103" s="36">
        <v>24</v>
      </c>
      <c r="H103" s="36" t="str">
        <f>IFERROR(IF(F103="실링",G103/2000,IF(F103="골드",INT(G103*(1-0.01*IF(Q103="배틀아이템",검색!$I$22,IF(Q103="요리",검색!$J$22,IF(Q103="특수",검색!$K$22,IF(Q103="생활도구",검색!$L$22,"")))))),VLOOKUP(F103,'거래소 최저가'!A:B,2,FALSE)*G103/VLOOKUP(F103,'거래소 최저가'!A:D,4,FALSE))),"")</f>
        <v/>
      </c>
      <c r="I103" s="154">
        <f>IF(ISBLANK(A103),"",SUM(H103:H$207)-SUM(I104:I$207))</f>
        <v>15</v>
      </c>
      <c r="J103" s="154">
        <v>144</v>
      </c>
      <c r="K103" s="154">
        <f>IF(J103=1,1,INT(J103*(1-IF(Q103="배틀아이템",검색!$I$23,IF(Q103="요리",검색!$J$23,IF(Q103="특수",검색!$K$23,IF(Q103="생활도구",검색!$L$23))))*0.01)))</f>
        <v>144</v>
      </c>
      <c r="L103" s="154">
        <v>3</v>
      </c>
      <c r="M103" s="154">
        <f>L103*(1+0.01*IF(Q103="배틀아이템",검색!$I$21,IF(Q103="요리",검색!$J$21,IF(Q103="특수",검색!$K$21,IF(Q103="생활도구",검색!$L$21)))))</f>
        <v>3</v>
      </c>
      <c r="N103" s="154" t="str">
        <f t="shared" si="17"/>
        <v/>
      </c>
      <c r="O103" s="150" t="e">
        <f t="shared" si="21"/>
        <v>#VALUE!</v>
      </c>
      <c r="P103" s="150" t="e">
        <f t="shared" si="18"/>
        <v>#VALUE!</v>
      </c>
      <c r="Q103" s="66" t="s">
        <v>125</v>
      </c>
    </row>
    <row r="104" spans="1:17" s="10" customFormat="1">
      <c r="A104" s="175"/>
      <c r="B104" s="169"/>
      <c r="C104" s="155"/>
      <c r="D104" s="159"/>
      <c r="E104" s="172"/>
      <c r="F104" s="37" t="s">
        <v>56</v>
      </c>
      <c r="G104" s="37">
        <v>3</v>
      </c>
      <c r="H104" s="37" t="str">
        <f>IFERROR(IF(F104="실링",G104/2000,IF(F104="골드",INT(G104*(1-0.01*IF(Q104="배틀아이템",검색!$I$22,IF(Q104="요리",검색!$J$22,IF(Q104="특수",검색!$K$22,IF(Q104="생활도구",검색!$L$22,"")))))),VLOOKUP(F104,'거래소 최저가'!A:B,2,FALSE)*G104/VLOOKUP(F104,'거래소 최저가'!A:D,4,FALSE))),"")</f>
        <v/>
      </c>
      <c r="I104" s="155"/>
      <c r="J104" s="155"/>
      <c r="K104" s="155"/>
      <c r="L104" s="155"/>
      <c r="M104" s="155"/>
      <c r="N104" s="155"/>
      <c r="O104" s="151"/>
      <c r="P104" s="151"/>
      <c r="Q104" s="67" t="s">
        <v>125</v>
      </c>
    </row>
    <row r="105" spans="1:17" s="10" customFormat="1">
      <c r="A105" s="175"/>
      <c r="B105" s="169"/>
      <c r="C105" s="155"/>
      <c r="D105" s="159"/>
      <c r="E105" s="172"/>
      <c r="F105" s="37" t="s">
        <v>11</v>
      </c>
      <c r="G105" s="37">
        <v>12</v>
      </c>
      <c r="H105" s="37" t="str">
        <f>IFERROR(IF(F105="실링",G105/2000,IF(F105="골드",INT(G105*(1-0.01*IF(Q105="배틀아이템",검색!$I$22,IF(Q105="요리",검색!$J$22,IF(Q105="특수",검색!$K$22,IF(Q105="생활도구",검색!$L$22,"")))))),VLOOKUP(F105,'거래소 최저가'!A:B,2,FALSE)*G105/VLOOKUP(F105,'거래소 최저가'!A:D,4,FALSE))),"")</f>
        <v/>
      </c>
      <c r="I105" s="155"/>
      <c r="J105" s="155"/>
      <c r="K105" s="155"/>
      <c r="L105" s="155"/>
      <c r="M105" s="155"/>
      <c r="N105" s="155"/>
      <c r="O105" s="151"/>
      <c r="P105" s="151"/>
      <c r="Q105" s="67" t="s">
        <v>125</v>
      </c>
    </row>
    <row r="106" spans="1:17" s="10" customFormat="1">
      <c r="A106" s="175"/>
      <c r="B106" s="169"/>
      <c r="C106" s="155"/>
      <c r="D106" s="159"/>
      <c r="E106" s="172"/>
      <c r="F106" s="37" t="s">
        <v>12</v>
      </c>
      <c r="G106" s="37">
        <v>3</v>
      </c>
      <c r="H106" s="37" t="str">
        <f>IFERROR(IF(F106="실링",G106/2000,IF(F106="골드",INT(G106*(1-0.01*IF(Q106="배틀아이템",검색!$I$22,IF(Q106="요리",검색!$J$22,IF(Q106="특수",검색!$K$22,IF(Q106="생활도구",검색!$L$22,"")))))),VLOOKUP(F106,'거래소 최저가'!A:B,2,FALSE)*G106/VLOOKUP(F106,'거래소 최저가'!A:D,4,FALSE))),"")</f>
        <v/>
      </c>
      <c r="I106" s="155"/>
      <c r="J106" s="155"/>
      <c r="K106" s="155"/>
      <c r="L106" s="155"/>
      <c r="M106" s="155"/>
      <c r="N106" s="155"/>
      <c r="O106" s="151"/>
      <c r="P106" s="151"/>
      <c r="Q106" s="67" t="s">
        <v>125</v>
      </c>
    </row>
    <row r="107" spans="1:17" s="17" customFormat="1" ht="17.25" thickBot="1">
      <c r="A107" s="176"/>
      <c r="B107" s="170"/>
      <c r="C107" s="156"/>
      <c r="D107" s="160"/>
      <c r="E107" s="173"/>
      <c r="F107" s="38" t="s">
        <v>18</v>
      </c>
      <c r="G107" s="38">
        <v>15</v>
      </c>
      <c r="H107" s="38">
        <f>IFERROR(IF(F107="실링",G107/2000,IF(F107="골드",INT(G107*(1-0.01*IF(Q107="배틀아이템",검색!$I$22,IF(Q107="요리",검색!$J$22,IF(Q107="특수",검색!$K$22,IF(Q107="생활도구",검색!$L$22,"")))))),VLOOKUP(F107,'거래소 최저가'!A:B,2,FALSE)*G107/VLOOKUP(F107,'거래소 최저가'!A:D,4,FALSE))),"")</f>
        <v>15</v>
      </c>
      <c r="I107" s="156"/>
      <c r="J107" s="156"/>
      <c r="K107" s="156"/>
      <c r="L107" s="156"/>
      <c r="M107" s="156"/>
      <c r="N107" s="156"/>
      <c r="O107" s="152"/>
      <c r="P107" s="152"/>
      <c r="Q107" s="69" t="s">
        <v>125</v>
      </c>
    </row>
    <row r="108" spans="1:17">
      <c r="A108" s="165" t="s">
        <v>57</v>
      </c>
      <c r="B108" s="168" t="str">
        <f t="shared" si="19"/>
        <v>제작</v>
      </c>
      <c r="C108" s="154" t="str">
        <f>IFERROR(VLOOKUP(A108,'거래소 최저가'!F:G,2,FALSE),"")</f>
        <v/>
      </c>
      <c r="D108" s="161" t="str">
        <f t="shared" si="16"/>
        <v/>
      </c>
      <c r="E108" s="171">
        <f t="shared" si="20"/>
        <v>5</v>
      </c>
      <c r="F108" s="36" t="s">
        <v>10</v>
      </c>
      <c r="G108" s="36">
        <v>30</v>
      </c>
      <c r="H108" s="36" t="str">
        <f>IFERROR(IF(F108="실링",G108/2000,IF(F108="골드",INT(G108*(1-0.01*IF(Q108="배틀아이템",검색!$I$22,IF(Q108="요리",검색!$J$22,IF(Q108="특수",검색!$K$22,IF(Q108="생활도구",검색!$L$22,"")))))),VLOOKUP(F108,'거래소 최저가'!A:B,2,FALSE)*G108/VLOOKUP(F108,'거래소 최저가'!A:D,4,FALSE))),"")</f>
        <v/>
      </c>
      <c r="I108" s="154">
        <f>IF(ISBLANK(A108),"",SUM(H108:H$207)-SUM(I109:I$207))</f>
        <v>15</v>
      </c>
      <c r="J108" s="154">
        <v>144</v>
      </c>
      <c r="K108" s="154">
        <f>IF(J108=1,1,INT(J108*(1-IF(Q108="배틀아이템",검색!$I$23,IF(Q108="요리",검색!$J$23,IF(Q108="특수",검색!$K$23,IF(Q108="생활도구",검색!$L$23))))*0.01)))</f>
        <v>144</v>
      </c>
      <c r="L108" s="154">
        <v>3</v>
      </c>
      <c r="M108" s="154">
        <f>L108*(1+0.01*IF(Q108="배틀아이템",검색!$I$21,IF(Q108="요리",검색!$J$21,IF(Q108="특수",검색!$K$21,IF(Q108="생활도구",검색!$L$21)))))</f>
        <v>3</v>
      </c>
      <c r="N108" s="154" t="str">
        <f t="shared" si="17"/>
        <v/>
      </c>
      <c r="O108" s="150" t="e">
        <f t="shared" si="21"/>
        <v>#VALUE!</v>
      </c>
      <c r="P108" s="150" t="e">
        <f t="shared" si="18"/>
        <v>#VALUE!</v>
      </c>
      <c r="Q108" s="66" t="s">
        <v>125</v>
      </c>
    </row>
    <row r="109" spans="1:17">
      <c r="A109" s="175"/>
      <c r="B109" s="169"/>
      <c r="C109" s="155"/>
      <c r="D109" s="159"/>
      <c r="E109" s="172"/>
      <c r="F109" s="37" t="s">
        <v>11</v>
      </c>
      <c r="G109" s="37">
        <v>18</v>
      </c>
      <c r="H109" s="37" t="str">
        <f>IFERROR(IF(F109="실링",G109/2000,IF(F109="골드",INT(G109*(1-0.01*IF(Q109="배틀아이템",검색!$I$22,IF(Q109="요리",검색!$J$22,IF(Q109="특수",검색!$K$22,IF(Q109="생활도구",검색!$L$22,"")))))),VLOOKUP(F109,'거래소 최저가'!A:B,2,FALSE)*G109/VLOOKUP(F109,'거래소 최저가'!A:D,4,FALSE))),"")</f>
        <v/>
      </c>
      <c r="I109" s="155"/>
      <c r="J109" s="155"/>
      <c r="K109" s="155"/>
      <c r="L109" s="155"/>
      <c r="M109" s="155"/>
      <c r="N109" s="155"/>
      <c r="O109" s="151"/>
      <c r="P109" s="151"/>
      <c r="Q109" s="67" t="s">
        <v>125</v>
      </c>
    </row>
    <row r="110" spans="1:17">
      <c r="A110" s="175"/>
      <c r="B110" s="169"/>
      <c r="C110" s="155"/>
      <c r="D110" s="159"/>
      <c r="E110" s="172"/>
      <c r="F110" s="37" t="s">
        <v>12</v>
      </c>
      <c r="G110" s="37">
        <v>3</v>
      </c>
      <c r="H110" s="37" t="str">
        <f>IFERROR(IF(F110="실링",G110/2000,IF(F110="골드",INT(G110*(1-0.01*IF(Q110="배틀아이템",검색!$I$22,IF(Q110="요리",검색!$J$22,IF(Q110="특수",검색!$K$22,IF(Q110="생활도구",검색!$L$22,"")))))),VLOOKUP(F110,'거래소 최저가'!A:B,2,FALSE)*G110/VLOOKUP(F110,'거래소 최저가'!A:D,4,FALSE))),"")</f>
        <v/>
      </c>
      <c r="I110" s="155"/>
      <c r="J110" s="155"/>
      <c r="K110" s="155"/>
      <c r="L110" s="155"/>
      <c r="M110" s="155"/>
      <c r="N110" s="155"/>
      <c r="O110" s="151"/>
      <c r="P110" s="151"/>
      <c r="Q110" s="67" t="s">
        <v>125</v>
      </c>
    </row>
    <row r="111" spans="1:17" ht="17.25" thickBot="1">
      <c r="A111" s="176"/>
      <c r="B111" s="170"/>
      <c r="C111" s="156"/>
      <c r="D111" s="160"/>
      <c r="E111" s="173"/>
      <c r="F111" s="38" t="s">
        <v>18</v>
      </c>
      <c r="G111" s="38">
        <v>15</v>
      </c>
      <c r="H111" s="38">
        <f>IFERROR(IF(F111="실링",G111/2000,IF(F111="골드",INT(G111*(1-0.01*IF(Q111="배틀아이템",검색!$I$22,IF(Q111="요리",검색!$J$22,IF(Q111="특수",검색!$K$22,IF(Q111="생활도구",검색!$L$22,"")))))),VLOOKUP(F111,'거래소 최저가'!A:B,2,FALSE)*G111/VLOOKUP(F111,'거래소 최저가'!A:D,4,FALSE))),"")</f>
        <v>15</v>
      </c>
      <c r="I111" s="156"/>
      <c r="J111" s="156"/>
      <c r="K111" s="156"/>
      <c r="L111" s="156"/>
      <c r="M111" s="156"/>
      <c r="N111" s="156"/>
      <c r="O111" s="152"/>
      <c r="P111" s="152"/>
      <c r="Q111" s="69" t="s">
        <v>125</v>
      </c>
    </row>
    <row r="112" spans="1:17">
      <c r="A112" s="165" t="s">
        <v>58</v>
      </c>
      <c r="B112" s="168" t="str">
        <f t="shared" si="19"/>
        <v>제작</v>
      </c>
      <c r="C112" s="154" t="str">
        <f>IFERROR(VLOOKUP(A112,'거래소 최저가'!A:B,2,FALSE),"")</f>
        <v/>
      </c>
      <c r="D112" s="161" t="str">
        <f t="shared" si="16"/>
        <v/>
      </c>
      <c r="E112" s="171">
        <f t="shared" si="20"/>
        <v>0.66666666666666663</v>
      </c>
      <c r="F112" s="36" t="s">
        <v>56</v>
      </c>
      <c r="G112" s="36">
        <v>88</v>
      </c>
      <c r="H112" s="36" t="str">
        <f>IFERROR(IF(F112="실링",G112/2000,IF(F112="골드",INT(G112*(1-0.01*IF(Q112="배틀아이템",검색!$I$22,IF(Q112="요리",검색!$J$22,IF(Q112="특수",검색!$K$22,IF(Q112="생활도구",검색!$L$22,"")))))),VLOOKUP(F112,'거래소 최저가'!A:B,2,FALSE)*G112/VLOOKUP(F112,'거래소 최저가'!A:D,4,FALSE))),"")</f>
        <v/>
      </c>
      <c r="I112" s="154">
        <f>IF(ISBLANK(A112),"",SUM(H112:H$207)-SUM(I113:I$207))</f>
        <v>20</v>
      </c>
      <c r="J112" s="154">
        <v>288</v>
      </c>
      <c r="K112" s="154">
        <f>IF(J112=1,1,INT(J112*(1-IF(Q112="배틀아이템",검색!$I$23,IF(Q112="요리",검색!$J$23,IF(Q112="특수",검색!$K$23,IF(Q112="생활도구",검색!$L$23))))*0.01)))</f>
        <v>288</v>
      </c>
      <c r="L112" s="154">
        <v>30</v>
      </c>
      <c r="M112" s="154">
        <f>L112*(1+0.01*IF(Q112="배틀아이템",검색!$I$21,IF(Q112="요리",검색!$J$21,IF(Q112="특수",검색!$K$21,IF(Q112="생활도구",검색!$L$21)))))</f>
        <v>30</v>
      </c>
      <c r="N112" s="154" t="str">
        <f t="shared" si="17"/>
        <v/>
      </c>
      <c r="O112" s="150" t="e">
        <f t="shared" si="21"/>
        <v>#VALUE!</v>
      </c>
      <c r="P112" s="150" t="e">
        <f t="shared" si="18"/>
        <v>#VALUE!</v>
      </c>
      <c r="Q112" s="66" t="s">
        <v>125</v>
      </c>
    </row>
    <row r="113" spans="1:17">
      <c r="A113" s="175"/>
      <c r="B113" s="169"/>
      <c r="C113" s="155"/>
      <c r="D113" s="159"/>
      <c r="E113" s="172"/>
      <c r="F113" s="37" t="s">
        <v>13</v>
      </c>
      <c r="G113" s="37">
        <v>88</v>
      </c>
      <c r="H113" s="37" t="str">
        <f>IFERROR(IF(F113="실링",G113/2000,IF(F113="골드",INT(G113*(1-0.01*IF(Q113="배틀아이템",검색!$I$22,IF(Q113="요리",검색!$J$22,IF(Q113="특수",검색!$K$22,IF(Q113="생활도구",검색!$L$22,"")))))),VLOOKUP(F113,'거래소 최저가'!A:B,2,FALSE)*G113/VLOOKUP(F113,'거래소 최저가'!A:D,4,FALSE))),"")</f>
        <v/>
      </c>
      <c r="I113" s="155"/>
      <c r="J113" s="155"/>
      <c r="K113" s="155"/>
      <c r="L113" s="155"/>
      <c r="M113" s="155"/>
      <c r="N113" s="155"/>
      <c r="O113" s="151"/>
      <c r="P113" s="151"/>
      <c r="Q113" s="67" t="s">
        <v>125</v>
      </c>
    </row>
    <row r="114" spans="1:17">
      <c r="A114" s="175"/>
      <c r="B114" s="169"/>
      <c r="C114" s="155"/>
      <c r="D114" s="159"/>
      <c r="E114" s="172"/>
      <c r="F114" s="37" t="s">
        <v>45</v>
      </c>
      <c r="G114" s="37">
        <v>22</v>
      </c>
      <c r="H114" s="37" t="str">
        <f>IFERROR(IF(F114="실링",G114/2000,IF(F114="골드",INT(G114*(1-0.01*IF(Q114="배틀아이템",검색!$I$22,IF(Q114="요리",검색!$J$22,IF(Q114="특수",검색!$K$22,IF(Q114="생활도구",검색!$L$22,"")))))),VLOOKUP(F114,'거래소 최저가'!A:B,2,FALSE)*G114/VLOOKUP(F114,'거래소 최저가'!A:D,4,FALSE))),"")</f>
        <v/>
      </c>
      <c r="I114" s="155"/>
      <c r="J114" s="155"/>
      <c r="K114" s="155"/>
      <c r="L114" s="155"/>
      <c r="M114" s="155"/>
      <c r="N114" s="155"/>
      <c r="O114" s="151"/>
      <c r="P114" s="151"/>
      <c r="Q114" s="67" t="s">
        <v>125</v>
      </c>
    </row>
    <row r="115" spans="1:17">
      <c r="A115" s="175"/>
      <c r="B115" s="169"/>
      <c r="C115" s="155"/>
      <c r="D115" s="159"/>
      <c r="E115" s="172"/>
      <c r="F115" s="37" t="s">
        <v>47</v>
      </c>
      <c r="G115" s="37">
        <v>22</v>
      </c>
      <c r="H115" s="37" t="str">
        <f>IFERROR(IF(F115="실링",G115/2000,IF(F115="골드",INT(G115*(1-0.01*IF(Q115="배틀아이템",검색!$I$22,IF(Q115="요리",검색!$J$22,IF(Q115="특수",검색!$K$22,IF(Q115="생활도구",검색!$L$22,"")))))),VLOOKUP(F115,'거래소 최저가'!A:B,2,FALSE)*G115/VLOOKUP(F115,'거래소 최저가'!A:D,4,FALSE))),"")</f>
        <v/>
      </c>
      <c r="I115" s="155"/>
      <c r="J115" s="155"/>
      <c r="K115" s="155"/>
      <c r="L115" s="155"/>
      <c r="M115" s="155"/>
      <c r="N115" s="155"/>
      <c r="O115" s="151"/>
      <c r="P115" s="151"/>
      <c r="Q115" s="67" t="s">
        <v>125</v>
      </c>
    </row>
    <row r="116" spans="1:17" ht="17.25" thickBot="1">
      <c r="A116" s="176"/>
      <c r="B116" s="170"/>
      <c r="C116" s="156"/>
      <c r="D116" s="160"/>
      <c r="E116" s="173"/>
      <c r="F116" s="38" t="s">
        <v>18</v>
      </c>
      <c r="G116" s="38">
        <v>20</v>
      </c>
      <c r="H116" s="38">
        <f>IFERROR(IF(F116="실링",G116/2000,IF(F116="골드",INT(G116*(1-0.01*IF(Q116="배틀아이템",검색!$I$22,IF(Q116="요리",검색!$J$22,IF(Q116="특수",검색!$K$22,IF(Q116="생활도구",검색!$L$22,"")))))),VLOOKUP(F116,'거래소 최저가'!A:B,2,FALSE)*G116/VLOOKUP(F116,'거래소 최저가'!A:D,4,FALSE))),"")</f>
        <v>20</v>
      </c>
      <c r="I116" s="156"/>
      <c r="J116" s="156"/>
      <c r="K116" s="156"/>
      <c r="L116" s="156"/>
      <c r="M116" s="156"/>
      <c r="N116" s="156"/>
      <c r="O116" s="152"/>
      <c r="P116" s="152"/>
      <c r="Q116" s="69" t="s">
        <v>125</v>
      </c>
    </row>
    <row r="117" spans="1:17">
      <c r="A117" s="165" t="s">
        <v>76</v>
      </c>
      <c r="B117" s="168" t="str">
        <f t="shared" ref="B117:B142" si="22">IFERROR(IF(ISBLANK(A117),"",IF(C117&gt;E117,"제작","구매")),"")</f>
        <v>제작</v>
      </c>
      <c r="C117" s="154" t="str">
        <f>IFERROR(VLOOKUP(A117,'거래소 최저가'!F:G,2,FALSE),"")</f>
        <v/>
      </c>
      <c r="D117" s="161" t="str">
        <f t="shared" si="16"/>
        <v/>
      </c>
      <c r="E117" s="171">
        <f t="shared" ref="E117:E142" si="23">IFERROR(IF(ISBLANK(A117),"",I117/L117),"")</f>
        <v>5</v>
      </c>
      <c r="F117" s="36" t="s">
        <v>10</v>
      </c>
      <c r="G117" s="36">
        <v>32</v>
      </c>
      <c r="H117" s="36" t="str">
        <f>IFERROR(IF(F117="실링",G117/2000,IF(F117="골드",INT(G117*(1-0.01*IF(Q117="배틀아이템",검색!$I$22,IF(Q117="요리",검색!$J$22,IF(Q117="특수",검색!$K$22,IF(Q117="생활도구",검색!$L$22,"")))))),VLOOKUP(F117,'거래소 최저가'!A:B,2,FALSE)*G117/VLOOKUP(F117,'거래소 최저가'!A:D,4,FALSE))),"")</f>
        <v/>
      </c>
      <c r="I117" s="154">
        <f>IF(ISBLANK(A117),"",SUM(H117:H$207)-SUM(I118:I$207))</f>
        <v>15</v>
      </c>
      <c r="J117" s="154">
        <v>144</v>
      </c>
      <c r="K117" s="154">
        <f>IF(J117=1,1,INT(J117*(1-IF(Q117="배틀아이템",검색!$I$23,IF(Q117="요리",검색!$J$23,IF(Q117="특수",검색!$K$23,IF(Q117="생활도구",검색!$L$23))))*0.01)))</f>
        <v>144</v>
      </c>
      <c r="L117" s="154">
        <v>3</v>
      </c>
      <c r="M117" s="154">
        <f>L117*(1+0.01*IF(Q117="배틀아이템",검색!$I$21,IF(Q117="요리",검색!$J$21,IF(Q117="특수",검색!$K$21,IF(Q117="생활도구",검색!$L$21)))))</f>
        <v>3</v>
      </c>
      <c r="N117" s="154" t="str">
        <f t="shared" si="17"/>
        <v/>
      </c>
      <c r="O117" s="150" t="e">
        <f t="shared" ref="O117:O147" si="24">N117*10000</f>
        <v>#VALUE!</v>
      </c>
      <c r="P117" s="150" t="e">
        <f t="shared" si="18"/>
        <v>#VALUE!</v>
      </c>
      <c r="Q117" s="66" t="s">
        <v>125</v>
      </c>
    </row>
    <row r="118" spans="1:17">
      <c r="A118" s="175"/>
      <c r="B118" s="169"/>
      <c r="C118" s="155"/>
      <c r="D118" s="159"/>
      <c r="E118" s="172"/>
      <c r="F118" s="37" t="s">
        <v>31</v>
      </c>
      <c r="G118" s="37">
        <v>5</v>
      </c>
      <c r="H118" s="37" t="str">
        <f>IFERROR(IF(F118="실링",G118/2000,IF(F118="골드",INT(G118*(1-0.01*IF(Q118="배틀아이템",검색!$I$22,IF(Q118="요리",검색!$J$22,IF(Q118="특수",검색!$K$22,IF(Q118="생활도구",검색!$L$22,"")))))),VLOOKUP(F118,'거래소 최저가'!A:B,2,FALSE)*G118/VLOOKUP(F118,'거래소 최저가'!A:D,4,FALSE))),"")</f>
        <v/>
      </c>
      <c r="I118" s="155"/>
      <c r="J118" s="155"/>
      <c r="K118" s="155"/>
      <c r="L118" s="155"/>
      <c r="M118" s="155"/>
      <c r="N118" s="155"/>
      <c r="O118" s="151"/>
      <c r="P118" s="151"/>
      <c r="Q118" s="67" t="s">
        <v>125</v>
      </c>
    </row>
    <row r="119" spans="1:17">
      <c r="A119" s="175"/>
      <c r="B119" s="169"/>
      <c r="C119" s="155"/>
      <c r="D119" s="159"/>
      <c r="E119" s="172"/>
      <c r="F119" s="37" t="s">
        <v>11</v>
      </c>
      <c r="G119" s="37">
        <v>16</v>
      </c>
      <c r="H119" s="37" t="str">
        <f>IFERROR(IF(F119="실링",G119/2000,IF(F119="골드",INT(G119*(1-0.01*IF(Q119="배틀아이템",검색!$I$22,IF(Q119="요리",검색!$J$22,IF(Q119="특수",검색!$K$22,IF(Q119="생활도구",검색!$L$22,"")))))),VLOOKUP(F119,'거래소 최저가'!A:B,2,FALSE)*G119/VLOOKUP(F119,'거래소 최저가'!A:D,4,FALSE))),"")</f>
        <v/>
      </c>
      <c r="I119" s="155"/>
      <c r="J119" s="155"/>
      <c r="K119" s="155"/>
      <c r="L119" s="155"/>
      <c r="M119" s="155"/>
      <c r="N119" s="155"/>
      <c r="O119" s="151"/>
      <c r="P119" s="151"/>
      <c r="Q119" s="67" t="s">
        <v>125</v>
      </c>
    </row>
    <row r="120" spans="1:17">
      <c r="A120" s="175"/>
      <c r="B120" s="169"/>
      <c r="C120" s="155"/>
      <c r="D120" s="159"/>
      <c r="E120" s="172"/>
      <c r="F120" s="37" t="s">
        <v>12</v>
      </c>
      <c r="G120" s="37">
        <v>4</v>
      </c>
      <c r="H120" s="37" t="str">
        <f>IFERROR(IF(F120="실링",G120/2000,IF(F120="골드",INT(G120*(1-0.01*IF(Q120="배틀아이템",검색!$I$22,IF(Q120="요리",검색!$J$22,IF(Q120="특수",검색!$K$22,IF(Q120="생활도구",검색!$L$22,"")))))),VLOOKUP(F120,'거래소 최저가'!A:B,2,FALSE)*G120/VLOOKUP(F120,'거래소 최저가'!A:D,4,FALSE))),"")</f>
        <v/>
      </c>
      <c r="I120" s="155"/>
      <c r="J120" s="155"/>
      <c r="K120" s="155"/>
      <c r="L120" s="155"/>
      <c r="M120" s="155"/>
      <c r="N120" s="155"/>
      <c r="O120" s="151"/>
      <c r="P120" s="151"/>
      <c r="Q120" s="67" t="s">
        <v>125</v>
      </c>
    </row>
    <row r="121" spans="1:17" ht="17.25" thickBot="1">
      <c r="A121" s="176"/>
      <c r="B121" s="170"/>
      <c r="C121" s="156"/>
      <c r="D121" s="160"/>
      <c r="E121" s="173"/>
      <c r="F121" s="38" t="s">
        <v>18</v>
      </c>
      <c r="G121" s="38">
        <v>15</v>
      </c>
      <c r="H121" s="38">
        <f>IFERROR(IF(F121="실링",G121/2000,IF(F121="골드",INT(G121*(1-0.01*IF(Q121="배틀아이템",검색!$I$22,IF(Q121="요리",검색!$J$22,IF(Q121="특수",검색!$K$22,IF(Q121="생활도구",검색!$L$22,"")))))),VLOOKUP(F121,'거래소 최저가'!A:B,2,FALSE)*G121/VLOOKUP(F121,'거래소 최저가'!A:D,4,FALSE))),"")</f>
        <v>15</v>
      </c>
      <c r="I121" s="156"/>
      <c r="J121" s="156"/>
      <c r="K121" s="156"/>
      <c r="L121" s="156"/>
      <c r="M121" s="156"/>
      <c r="N121" s="156"/>
      <c r="O121" s="152"/>
      <c r="P121" s="152"/>
      <c r="Q121" s="69" t="s">
        <v>125</v>
      </c>
    </row>
    <row r="122" spans="1:17" s="12" customFormat="1">
      <c r="A122" s="165" t="s">
        <v>77</v>
      </c>
      <c r="B122" s="168" t="str">
        <f t="shared" si="22"/>
        <v>제작</v>
      </c>
      <c r="C122" s="154" t="str">
        <f>IFERROR(VLOOKUP(A122,'거래소 최저가'!F:G,2,FALSE),"")</f>
        <v/>
      </c>
      <c r="D122" s="161" t="str">
        <f t="shared" si="16"/>
        <v/>
      </c>
      <c r="E122" s="171">
        <f t="shared" si="23"/>
        <v>5</v>
      </c>
      <c r="F122" s="36" t="s">
        <v>10</v>
      </c>
      <c r="G122" s="36">
        <v>32</v>
      </c>
      <c r="H122" s="36" t="str">
        <f>IFERROR(IF(F122="실링",G122/2000,IF(F122="골드",INT(G122*(1-0.01*IF(Q122="배틀아이템",검색!$I$22,IF(Q122="요리",검색!$J$22,IF(Q122="특수",검색!$K$22,IF(Q122="생활도구",검색!$L$22,"")))))),VLOOKUP(F122,'거래소 최저가'!A:B,2,FALSE)*G122/VLOOKUP(F122,'거래소 최저가'!A:D,4,FALSE))),"")</f>
        <v/>
      </c>
      <c r="I122" s="154">
        <f>IF(ISBLANK(A122),"",SUM(H122:H$207)-SUM(I123:I$207))</f>
        <v>15</v>
      </c>
      <c r="J122" s="154">
        <v>144</v>
      </c>
      <c r="K122" s="154">
        <f>IF(J122=1,1,INT(J122*(1-IF(Q122="배틀아이템",검색!$I$23,IF(Q122="요리",검색!$J$23,IF(Q122="특수",검색!$K$23,IF(Q122="생활도구",검색!$L$23))))*0.01)))</f>
        <v>144</v>
      </c>
      <c r="L122" s="154">
        <v>3</v>
      </c>
      <c r="M122" s="154">
        <f>L122*(1+0.01*IF(Q122="배틀아이템",검색!$I$21,IF(Q122="요리",검색!$J$21,IF(Q122="특수",검색!$K$21,IF(Q122="생활도구",검색!$L$21)))))</f>
        <v>3</v>
      </c>
      <c r="N122" s="154" t="str">
        <f t="shared" si="17"/>
        <v/>
      </c>
      <c r="O122" s="150" t="e">
        <f t="shared" si="24"/>
        <v>#VALUE!</v>
      </c>
      <c r="P122" s="150" t="e">
        <f t="shared" si="18"/>
        <v>#VALUE!</v>
      </c>
      <c r="Q122" s="66" t="s">
        <v>125</v>
      </c>
    </row>
    <row r="123" spans="1:17" s="10" customFormat="1">
      <c r="A123" s="175"/>
      <c r="B123" s="169"/>
      <c r="C123" s="155"/>
      <c r="D123" s="159"/>
      <c r="E123" s="172"/>
      <c r="F123" s="37" t="s">
        <v>31</v>
      </c>
      <c r="G123" s="37">
        <v>5</v>
      </c>
      <c r="H123" s="37" t="str">
        <f>IFERROR(IF(F123="실링",G123/2000,IF(F123="골드",INT(G123*(1-0.01*IF(Q123="배틀아이템",검색!$I$22,IF(Q123="요리",검색!$J$22,IF(Q123="특수",검색!$K$22,IF(Q123="생활도구",검색!$L$22,"")))))),VLOOKUP(F123,'거래소 최저가'!A:B,2,FALSE)*G123/VLOOKUP(F123,'거래소 최저가'!A:D,4,FALSE))),"")</f>
        <v/>
      </c>
      <c r="I123" s="155"/>
      <c r="J123" s="155"/>
      <c r="K123" s="155"/>
      <c r="L123" s="155"/>
      <c r="M123" s="155"/>
      <c r="N123" s="155"/>
      <c r="O123" s="151"/>
      <c r="P123" s="151"/>
      <c r="Q123" s="67" t="s">
        <v>125</v>
      </c>
    </row>
    <row r="124" spans="1:17" s="10" customFormat="1">
      <c r="A124" s="175"/>
      <c r="B124" s="169"/>
      <c r="C124" s="155"/>
      <c r="D124" s="159"/>
      <c r="E124" s="172"/>
      <c r="F124" s="37" t="s">
        <v>11</v>
      </c>
      <c r="G124" s="37">
        <v>16</v>
      </c>
      <c r="H124" s="37" t="str">
        <f>IFERROR(IF(F124="실링",G124/2000,IF(F124="골드",INT(G124*(1-0.01*IF(Q124="배틀아이템",검색!$I$22,IF(Q124="요리",검색!$J$22,IF(Q124="특수",검색!$K$22,IF(Q124="생활도구",검색!$L$22,"")))))),VLOOKUP(F124,'거래소 최저가'!A:B,2,FALSE)*G124/VLOOKUP(F124,'거래소 최저가'!A:D,4,FALSE))),"")</f>
        <v/>
      </c>
      <c r="I124" s="155"/>
      <c r="J124" s="155"/>
      <c r="K124" s="155"/>
      <c r="L124" s="155"/>
      <c r="M124" s="155"/>
      <c r="N124" s="155"/>
      <c r="O124" s="151"/>
      <c r="P124" s="151"/>
      <c r="Q124" s="67" t="s">
        <v>125</v>
      </c>
    </row>
    <row r="125" spans="1:17" s="10" customFormat="1">
      <c r="A125" s="175"/>
      <c r="B125" s="169"/>
      <c r="C125" s="155"/>
      <c r="D125" s="159"/>
      <c r="E125" s="172"/>
      <c r="F125" s="37" t="s">
        <v>12</v>
      </c>
      <c r="G125" s="37">
        <v>4</v>
      </c>
      <c r="H125" s="37" t="str">
        <f>IFERROR(IF(F125="실링",G125/2000,IF(F125="골드",INT(G125*(1-0.01*IF(Q125="배틀아이템",검색!$I$22,IF(Q125="요리",검색!$J$22,IF(Q125="특수",검색!$K$22,IF(Q125="생활도구",검색!$L$22,"")))))),VLOOKUP(F125,'거래소 최저가'!A:B,2,FALSE)*G125/VLOOKUP(F125,'거래소 최저가'!A:D,4,FALSE))),"")</f>
        <v/>
      </c>
      <c r="I125" s="155"/>
      <c r="J125" s="155"/>
      <c r="K125" s="155"/>
      <c r="L125" s="155"/>
      <c r="M125" s="155"/>
      <c r="N125" s="155"/>
      <c r="O125" s="151"/>
      <c r="P125" s="151"/>
      <c r="Q125" s="67" t="s">
        <v>125</v>
      </c>
    </row>
    <row r="126" spans="1:17" s="13" customFormat="1" ht="17.25" thickBot="1">
      <c r="A126" s="176"/>
      <c r="B126" s="170"/>
      <c r="C126" s="156"/>
      <c r="D126" s="160"/>
      <c r="E126" s="173"/>
      <c r="F126" s="38" t="s">
        <v>18</v>
      </c>
      <c r="G126" s="38">
        <v>15</v>
      </c>
      <c r="H126" s="38">
        <f>IFERROR(IF(F126="실링",G126/2000,IF(F126="골드",INT(G126*(1-0.01*IF(Q126="배틀아이템",검색!$I$22,IF(Q126="요리",검색!$J$22,IF(Q126="특수",검색!$K$22,IF(Q126="생활도구",검색!$L$22,"")))))),VLOOKUP(F126,'거래소 최저가'!A:B,2,FALSE)*G126/VLOOKUP(F126,'거래소 최저가'!A:D,4,FALSE))),"")</f>
        <v>15</v>
      </c>
      <c r="I126" s="156"/>
      <c r="J126" s="156"/>
      <c r="K126" s="156"/>
      <c r="L126" s="156"/>
      <c r="M126" s="156"/>
      <c r="N126" s="156"/>
      <c r="O126" s="152"/>
      <c r="P126" s="152"/>
      <c r="Q126" s="69" t="s">
        <v>125</v>
      </c>
    </row>
    <row r="127" spans="1:17" s="12" customFormat="1">
      <c r="A127" s="165" t="s">
        <v>78</v>
      </c>
      <c r="B127" s="168" t="str">
        <f t="shared" si="22"/>
        <v>제작</v>
      </c>
      <c r="C127" s="154" t="str">
        <f>IFERROR(VLOOKUP(A127,'거래소 최저가'!F:G,2,FALSE),"")</f>
        <v/>
      </c>
      <c r="D127" s="161" t="str">
        <f t="shared" si="16"/>
        <v/>
      </c>
      <c r="E127" s="171">
        <f t="shared" si="23"/>
        <v>5</v>
      </c>
      <c r="F127" s="36" t="s">
        <v>0</v>
      </c>
      <c r="G127" s="36">
        <v>32</v>
      </c>
      <c r="H127" s="36" t="str">
        <f>IFERROR(IF(F127="실링",G127/2000,IF(F127="골드",INT(G127*(1-0.01*IF(Q127="배틀아이템",검색!$I$22,IF(Q127="요리",검색!$J$22,IF(Q127="특수",검색!$K$22,IF(Q127="생활도구",검색!$L$22,"")))))),VLOOKUP(F127,'거래소 최저가'!A:B,2,FALSE)*G127/VLOOKUP(F127,'거래소 최저가'!A:D,4,FALSE))),"")</f>
        <v/>
      </c>
      <c r="I127" s="154">
        <f>IF(ISBLANK(A127),"",SUM(H127:H$207)-SUM(I128:I$207))</f>
        <v>15</v>
      </c>
      <c r="J127" s="154">
        <v>144</v>
      </c>
      <c r="K127" s="154">
        <f>IF(J127=1,1,INT(J127*(1-IF(Q127="배틀아이템",검색!$I$23,IF(Q127="요리",검색!$J$23,IF(Q127="특수",검색!$K$23,IF(Q127="생활도구",검색!$L$23))))*0.01)))</f>
        <v>144</v>
      </c>
      <c r="L127" s="154">
        <v>3</v>
      </c>
      <c r="M127" s="154">
        <f>L127*(1+0.01*IF(Q127="배틀아이템",검색!$I$21,IF(Q127="요리",검색!$J$21,IF(Q127="특수",검색!$K$21,IF(Q127="생활도구",검색!$L$21)))))</f>
        <v>3</v>
      </c>
      <c r="N127" s="154" t="str">
        <f t="shared" si="17"/>
        <v/>
      </c>
      <c r="O127" s="150" t="e">
        <f t="shared" si="24"/>
        <v>#VALUE!</v>
      </c>
      <c r="P127" s="150" t="e">
        <f t="shared" si="18"/>
        <v>#VALUE!</v>
      </c>
      <c r="Q127" s="66" t="s">
        <v>125</v>
      </c>
    </row>
    <row r="128" spans="1:17" s="10" customFormat="1">
      <c r="A128" s="175"/>
      <c r="B128" s="169"/>
      <c r="C128" s="155"/>
      <c r="D128" s="159"/>
      <c r="E128" s="172"/>
      <c r="F128" s="37" t="s">
        <v>31</v>
      </c>
      <c r="G128" s="37">
        <v>5</v>
      </c>
      <c r="H128" s="37" t="str">
        <f>IFERROR(IF(F128="실링",G128/2000,IF(F128="골드",INT(G128*(1-0.01*IF(Q128="배틀아이템",검색!$I$22,IF(Q128="요리",검색!$J$22,IF(Q128="특수",검색!$K$22,IF(Q128="생활도구",검색!$L$22,"")))))),VLOOKUP(F128,'거래소 최저가'!A:B,2,FALSE)*G128/VLOOKUP(F128,'거래소 최저가'!A:D,4,FALSE))),"")</f>
        <v/>
      </c>
      <c r="I128" s="155"/>
      <c r="J128" s="155"/>
      <c r="K128" s="155"/>
      <c r="L128" s="155"/>
      <c r="M128" s="155"/>
      <c r="N128" s="155"/>
      <c r="O128" s="151"/>
      <c r="P128" s="151"/>
      <c r="Q128" s="67" t="s">
        <v>125</v>
      </c>
    </row>
    <row r="129" spans="1:17" s="10" customFormat="1">
      <c r="A129" s="175"/>
      <c r="B129" s="169"/>
      <c r="C129" s="155"/>
      <c r="D129" s="159"/>
      <c r="E129" s="172"/>
      <c r="F129" s="37" t="s">
        <v>7</v>
      </c>
      <c r="G129" s="37">
        <v>16</v>
      </c>
      <c r="H129" s="37" t="str">
        <f>IFERROR(IF(F129="실링",G129/2000,IF(F129="골드",INT(G129*(1-0.01*IF(Q129="배틀아이템",검색!$I$22,IF(Q129="요리",검색!$J$22,IF(Q129="특수",검색!$K$22,IF(Q129="생활도구",검색!$L$22,"")))))),VLOOKUP(F129,'거래소 최저가'!A:B,2,FALSE)*G129/VLOOKUP(F129,'거래소 최저가'!A:D,4,FALSE))),"")</f>
        <v/>
      </c>
      <c r="I129" s="155"/>
      <c r="J129" s="155"/>
      <c r="K129" s="155"/>
      <c r="L129" s="155"/>
      <c r="M129" s="155"/>
      <c r="N129" s="155"/>
      <c r="O129" s="151"/>
      <c r="P129" s="151"/>
      <c r="Q129" s="67" t="s">
        <v>125</v>
      </c>
    </row>
    <row r="130" spans="1:17" s="10" customFormat="1">
      <c r="A130" s="175"/>
      <c r="B130" s="169"/>
      <c r="C130" s="155"/>
      <c r="D130" s="159"/>
      <c r="E130" s="172"/>
      <c r="F130" s="37" t="s">
        <v>17</v>
      </c>
      <c r="G130" s="37">
        <v>4</v>
      </c>
      <c r="H130" s="37" t="str">
        <f>IFERROR(IF(F130="실링",G130/2000,IF(F130="골드",INT(G130*(1-0.01*IF(Q130="배틀아이템",검색!$I$22,IF(Q130="요리",검색!$J$22,IF(Q130="특수",검색!$K$22,IF(Q130="생활도구",검색!$L$22,"")))))),VLOOKUP(F130,'거래소 최저가'!A:B,2,FALSE)*G130/VLOOKUP(F130,'거래소 최저가'!A:D,4,FALSE))),"")</f>
        <v/>
      </c>
      <c r="I130" s="155"/>
      <c r="J130" s="155"/>
      <c r="K130" s="155"/>
      <c r="L130" s="155"/>
      <c r="M130" s="155"/>
      <c r="N130" s="155"/>
      <c r="O130" s="151"/>
      <c r="P130" s="151"/>
      <c r="Q130" s="67" t="s">
        <v>125</v>
      </c>
    </row>
    <row r="131" spans="1:17" s="11" customFormat="1" ht="17.25" thickBot="1">
      <c r="A131" s="176"/>
      <c r="B131" s="170"/>
      <c r="C131" s="156"/>
      <c r="D131" s="160"/>
      <c r="E131" s="173"/>
      <c r="F131" s="38" t="s">
        <v>18</v>
      </c>
      <c r="G131" s="38">
        <v>15</v>
      </c>
      <c r="H131" s="38">
        <f>IFERROR(IF(F131="실링",G131/2000,IF(F131="골드",INT(G131*(1-0.01*IF(Q131="배틀아이템",검색!$I$22,IF(Q131="요리",검색!$J$22,IF(Q131="특수",검색!$K$22,IF(Q131="생활도구",검색!$L$22,"")))))),VLOOKUP(F131,'거래소 최저가'!A:B,2,FALSE)*G131/VLOOKUP(F131,'거래소 최저가'!A:D,4,FALSE))),"")</f>
        <v>15</v>
      </c>
      <c r="I131" s="156"/>
      <c r="J131" s="156"/>
      <c r="K131" s="156"/>
      <c r="L131" s="156"/>
      <c r="M131" s="156"/>
      <c r="N131" s="156"/>
      <c r="O131" s="152"/>
      <c r="P131" s="152"/>
      <c r="Q131" s="69" t="s">
        <v>125</v>
      </c>
    </row>
    <row r="132" spans="1:17">
      <c r="A132" s="165" t="s">
        <v>80</v>
      </c>
      <c r="B132" s="168" t="str">
        <f t="shared" si="22"/>
        <v>제작</v>
      </c>
      <c r="C132" s="154" t="str">
        <f>IFERROR(VLOOKUP(A132,'거래소 최저가'!F:G,2,FALSE),"")</f>
        <v/>
      </c>
      <c r="D132" s="161" t="str">
        <f t="shared" ref="D132:D194" si="25">IFERROR(INT(C132*0.05)+1,"")</f>
        <v/>
      </c>
      <c r="E132" s="171">
        <f t="shared" si="23"/>
        <v>5</v>
      </c>
      <c r="F132" s="36" t="s">
        <v>81</v>
      </c>
      <c r="G132" s="36">
        <v>3</v>
      </c>
      <c r="H132" s="36" t="str">
        <f>IFERROR(IF(F132="실링",G132/2000,IF(F132="골드",INT(G132*(1-0.01*IF(Q132="배틀아이템",검색!$I$22,IF(Q132="요리",검색!$J$22,IF(Q132="특수",검색!$K$22,IF(Q132="생활도구",검색!$L$22,"")))))),VLOOKUP(F132,'거래소 최저가'!A:B,2,FALSE)*G132/VLOOKUP(F132,'거래소 최저가'!A:D,4,FALSE))),"")</f>
        <v/>
      </c>
      <c r="I132" s="154">
        <f>IF(ISBLANK(A132),"",SUM(H132:H$207)-SUM(I133:I$207))</f>
        <v>15</v>
      </c>
      <c r="J132" s="154">
        <v>144</v>
      </c>
      <c r="K132" s="154">
        <f>IF(J132=1,1,INT(J132*(1-IF(Q132="배틀아이템",검색!$I$23,IF(Q132="요리",검색!$J$23,IF(Q132="특수",검색!$K$23,IF(Q132="생활도구",검색!$L$23))))*0.01)))</f>
        <v>144</v>
      </c>
      <c r="L132" s="154">
        <v>3</v>
      </c>
      <c r="M132" s="154">
        <f>L132*(1+0.01*IF(Q132="배틀아이템",검색!$I$21,IF(Q132="요리",검색!$J$21,IF(Q132="특수",검색!$K$21,IF(Q132="생활도구",검색!$L$21)))))</f>
        <v>3</v>
      </c>
      <c r="N132" s="154" t="str">
        <f t="shared" ref="N132:N194" si="26">IFERROR((((C132-D132)*M132-I132)/K132),"")</f>
        <v/>
      </c>
      <c r="O132" s="150" t="e">
        <f t="shared" si="24"/>
        <v>#VALUE!</v>
      </c>
      <c r="P132" s="150" t="e">
        <f t="shared" ref="P132:P194" si="27">((C132-D132-1)*M132-I132)/K132*10000</f>
        <v>#VALUE!</v>
      </c>
      <c r="Q132" s="66" t="s">
        <v>125</v>
      </c>
    </row>
    <row r="133" spans="1:17">
      <c r="A133" s="175"/>
      <c r="B133" s="169"/>
      <c r="C133" s="155"/>
      <c r="D133" s="159"/>
      <c r="E133" s="172"/>
      <c r="F133" s="37" t="s">
        <v>10</v>
      </c>
      <c r="G133" s="37">
        <v>24</v>
      </c>
      <c r="H133" s="37" t="str">
        <f>IFERROR(IF(F133="실링",G133/2000,IF(F133="골드",INT(G133*(1-0.01*IF(Q133="배틀아이템",검색!$I$22,IF(Q133="요리",검색!$J$22,IF(Q133="특수",검색!$K$22,IF(Q133="생활도구",검색!$L$22,"")))))),VLOOKUP(F133,'거래소 최저가'!A:B,2,FALSE)*G133/VLOOKUP(F133,'거래소 최저가'!A:D,4,FALSE))),"")</f>
        <v/>
      </c>
      <c r="I133" s="155"/>
      <c r="J133" s="155"/>
      <c r="K133" s="155"/>
      <c r="L133" s="155"/>
      <c r="M133" s="155"/>
      <c r="N133" s="155"/>
      <c r="O133" s="151"/>
      <c r="P133" s="151"/>
      <c r="Q133" s="67" t="s">
        <v>125</v>
      </c>
    </row>
    <row r="134" spans="1:17">
      <c r="A134" s="175"/>
      <c r="B134" s="169"/>
      <c r="C134" s="155"/>
      <c r="D134" s="159"/>
      <c r="E134" s="172"/>
      <c r="F134" s="37" t="s">
        <v>11</v>
      </c>
      <c r="G134" s="37">
        <v>12</v>
      </c>
      <c r="H134" s="37" t="str">
        <f>IFERROR(IF(F134="실링",G134/2000,IF(F134="골드",INT(G134*(1-0.01*IF(Q134="배틀아이템",검색!$I$22,IF(Q134="요리",검색!$J$22,IF(Q134="특수",검색!$K$22,IF(Q134="생활도구",검색!$L$22,"")))))),VLOOKUP(F134,'거래소 최저가'!A:B,2,FALSE)*G134/VLOOKUP(F134,'거래소 최저가'!A:D,4,FALSE))),"")</f>
        <v/>
      </c>
      <c r="I134" s="155"/>
      <c r="J134" s="155"/>
      <c r="K134" s="155"/>
      <c r="L134" s="155"/>
      <c r="M134" s="155"/>
      <c r="N134" s="155"/>
      <c r="O134" s="151"/>
      <c r="P134" s="151"/>
      <c r="Q134" s="67" t="s">
        <v>125</v>
      </c>
    </row>
    <row r="135" spans="1:17">
      <c r="A135" s="175"/>
      <c r="B135" s="169"/>
      <c r="C135" s="155"/>
      <c r="D135" s="159"/>
      <c r="E135" s="172"/>
      <c r="F135" s="37" t="s">
        <v>12</v>
      </c>
      <c r="G135" s="37">
        <v>3</v>
      </c>
      <c r="H135" s="37" t="str">
        <f>IFERROR(IF(F135="실링",G135/2000,IF(F135="골드",INT(G135*(1-0.01*IF(Q135="배틀아이템",검색!$I$22,IF(Q135="요리",검색!$J$22,IF(Q135="특수",검색!$K$22,IF(Q135="생활도구",검색!$L$22,"")))))),VLOOKUP(F135,'거래소 최저가'!A:B,2,FALSE)*G135/VLOOKUP(F135,'거래소 최저가'!A:D,4,FALSE))),"")</f>
        <v/>
      </c>
      <c r="I135" s="155"/>
      <c r="J135" s="155"/>
      <c r="K135" s="155"/>
      <c r="L135" s="155"/>
      <c r="M135" s="155"/>
      <c r="N135" s="155"/>
      <c r="O135" s="151"/>
      <c r="P135" s="151"/>
      <c r="Q135" s="67" t="s">
        <v>125</v>
      </c>
    </row>
    <row r="136" spans="1:17" ht="17.25" thickBot="1">
      <c r="A136" s="176"/>
      <c r="B136" s="170"/>
      <c r="C136" s="156"/>
      <c r="D136" s="160"/>
      <c r="E136" s="173"/>
      <c r="F136" s="38" t="s">
        <v>18</v>
      </c>
      <c r="G136" s="38">
        <v>15</v>
      </c>
      <c r="H136" s="38">
        <f>IFERROR(IF(F136="실링",G136/2000,IF(F136="골드",INT(G136*(1-0.01*IF(Q136="배틀아이템",검색!$I$22,IF(Q136="요리",검색!$J$22,IF(Q136="특수",검색!$K$22,IF(Q136="생활도구",검색!$L$22,"")))))),VLOOKUP(F136,'거래소 최저가'!A:B,2,FALSE)*G136/VLOOKUP(F136,'거래소 최저가'!A:D,4,FALSE))),"")</f>
        <v>15</v>
      </c>
      <c r="I136" s="156"/>
      <c r="J136" s="156"/>
      <c r="K136" s="156"/>
      <c r="L136" s="156"/>
      <c r="M136" s="156"/>
      <c r="N136" s="156"/>
      <c r="O136" s="152"/>
      <c r="P136" s="152"/>
      <c r="Q136" s="69" t="s">
        <v>125</v>
      </c>
    </row>
    <row r="137" spans="1:17">
      <c r="A137" s="165" t="s">
        <v>82</v>
      </c>
      <c r="B137" s="168" t="str">
        <f t="shared" si="22"/>
        <v>제작</v>
      </c>
      <c r="C137" s="154" t="str">
        <f>IFERROR(VLOOKUP(A137,'거래소 최저가'!F:G,2,FALSE),"")</f>
        <v/>
      </c>
      <c r="D137" s="161" t="str">
        <f t="shared" si="25"/>
        <v/>
      </c>
      <c r="E137" s="171">
        <f t="shared" si="23"/>
        <v>5</v>
      </c>
      <c r="F137" s="36" t="s">
        <v>10</v>
      </c>
      <c r="G137" s="36">
        <v>32</v>
      </c>
      <c r="H137" s="36" t="str">
        <f>IFERROR(IF(F137="실링",G137/2000,IF(F137="골드",INT(G137*(1-0.01*IF(Q137="배틀아이템",검색!$I$22,IF(Q137="요리",검색!$J$22,IF(Q137="특수",검색!$K$22,IF(Q137="생활도구",검색!$L$22,"")))))),VLOOKUP(F137,'거래소 최저가'!A:B,2,FALSE)*G137/VLOOKUP(F137,'거래소 최저가'!A:D,4,FALSE))),"")</f>
        <v/>
      </c>
      <c r="I137" s="154">
        <f>IF(ISBLANK(A137),"",SUM(H137:H$207)-SUM(I138:I$207))</f>
        <v>15</v>
      </c>
      <c r="J137" s="154">
        <v>144</v>
      </c>
      <c r="K137" s="154">
        <f>IF(J137=1,1,INT(J137*(1-IF(Q137="배틀아이템",검색!$I$23,IF(Q137="요리",검색!$J$23,IF(Q137="특수",검색!$K$23,IF(Q137="생활도구",검색!$L$23))))*0.01)))</f>
        <v>144</v>
      </c>
      <c r="L137" s="154">
        <v>3</v>
      </c>
      <c r="M137" s="154">
        <f>L137*(1+0.01*IF(Q137="배틀아이템",검색!$I$21,IF(Q137="요리",검색!$J$21,IF(Q137="특수",검색!$K$21,IF(Q137="생활도구",검색!$L$21)))))</f>
        <v>3</v>
      </c>
      <c r="N137" s="154" t="str">
        <f t="shared" si="26"/>
        <v/>
      </c>
      <c r="O137" s="150" t="e">
        <f t="shared" si="24"/>
        <v>#VALUE!</v>
      </c>
      <c r="P137" s="150" t="e">
        <f t="shared" si="27"/>
        <v>#VALUE!</v>
      </c>
      <c r="Q137" s="66" t="s">
        <v>125</v>
      </c>
    </row>
    <row r="138" spans="1:17">
      <c r="A138" s="175"/>
      <c r="B138" s="169"/>
      <c r="C138" s="155"/>
      <c r="D138" s="159"/>
      <c r="E138" s="172"/>
      <c r="F138" s="37" t="s">
        <v>13</v>
      </c>
      <c r="G138" s="37">
        <v>6</v>
      </c>
      <c r="H138" s="37" t="str">
        <f>IFERROR(IF(F138="실링",G138/2000,IF(F138="골드",INT(G138*(1-0.01*IF(Q138="배틀아이템",검색!$I$22,IF(Q138="요리",검색!$J$22,IF(Q138="특수",검색!$K$22,IF(Q138="생활도구",검색!$L$22,"")))))),VLOOKUP(F138,'거래소 최저가'!A:B,2,FALSE)*G138/VLOOKUP(F138,'거래소 최저가'!A:D,4,FALSE))),"")</f>
        <v/>
      </c>
      <c r="I138" s="155"/>
      <c r="J138" s="155"/>
      <c r="K138" s="155"/>
      <c r="L138" s="155"/>
      <c r="M138" s="155"/>
      <c r="N138" s="155"/>
      <c r="O138" s="151"/>
      <c r="P138" s="151"/>
      <c r="Q138" s="67" t="s">
        <v>125</v>
      </c>
    </row>
    <row r="139" spans="1:17">
      <c r="A139" s="175"/>
      <c r="B139" s="169"/>
      <c r="C139" s="155"/>
      <c r="D139" s="159"/>
      <c r="E139" s="172"/>
      <c r="F139" s="37" t="s">
        <v>11</v>
      </c>
      <c r="G139" s="37">
        <v>12</v>
      </c>
      <c r="H139" s="37" t="str">
        <f>IFERROR(IF(F139="실링",G139/2000,IF(F139="골드",INT(G139*(1-0.01*IF(Q139="배틀아이템",검색!$I$22,IF(Q139="요리",검색!$J$22,IF(Q139="특수",검색!$K$22,IF(Q139="생활도구",검색!$L$22,"")))))),VLOOKUP(F139,'거래소 최저가'!A:B,2,FALSE)*G139/VLOOKUP(F139,'거래소 최저가'!A:D,4,FALSE))),"")</f>
        <v/>
      </c>
      <c r="I139" s="155"/>
      <c r="J139" s="155"/>
      <c r="K139" s="155"/>
      <c r="L139" s="155"/>
      <c r="M139" s="155"/>
      <c r="N139" s="155"/>
      <c r="O139" s="151"/>
      <c r="P139" s="151"/>
      <c r="Q139" s="67" t="s">
        <v>125</v>
      </c>
    </row>
    <row r="140" spans="1:17">
      <c r="A140" s="175"/>
      <c r="B140" s="169"/>
      <c r="C140" s="155"/>
      <c r="D140" s="159"/>
      <c r="E140" s="172"/>
      <c r="F140" s="37" t="s">
        <v>12</v>
      </c>
      <c r="G140" s="37">
        <v>4</v>
      </c>
      <c r="H140" s="37" t="str">
        <f>IFERROR(IF(F140="실링",G140/2000,IF(F140="골드",INT(G140*(1-0.01*IF(Q140="배틀아이템",검색!$I$22,IF(Q140="요리",검색!$J$22,IF(Q140="특수",검색!$K$22,IF(Q140="생활도구",검색!$L$22,"")))))),VLOOKUP(F140,'거래소 최저가'!A:B,2,FALSE)*G140/VLOOKUP(F140,'거래소 최저가'!A:D,4,FALSE))),"")</f>
        <v/>
      </c>
      <c r="I140" s="155"/>
      <c r="J140" s="155"/>
      <c r="K140" s="155"/>
      <c r="L140" s="155"/>
      <c r="M140" s="155"/>
      <c r="N140" s="155"/>
      <c r="O140" s="151"/>
      <c r="P140" s="151"/>
      <c r="Q140" s="67" t="s">
        <v>125</v>
      </c>
    </row>
    <row r="141" spans="1:17" ht="17.25" thickBot="1">
      <c r="A141" s="176"/>
      <c r="B141" s="170"/>
      <c r="C141" s="156"/>
      <c r="D141" s="160"/>
      <c r="E141" s="173"/>
      <c r="F141" s="38" t="s">
        <v>18</v>
      </c>
      <c r="G141" s="38">
        <v>15</v>
      </c>
      <c r="H141" s="38">
        <f>IFERROR(IF(F141="실링",G141/2000,IF(F141="골드",INT(G141*(1-0.01*IF(Q141="배틀아이템",검색!$I$22,IF(Q141="요리",검색!$J$22,IF(Q141="특수",검색!$K$22,IF(Q141="생활도구",검색!$L$22,"")))))),VLOOKUP(F141,'거래소 최저가'!A:B,2,FALSE)*G141/VLOOKUP(F141,'거래소 최저가'!A:D,4,FALSE))),"")</f>
        <v>15</v>
      </c>
      <c r="I141" s="156"/>
      <c r="J141" s="156"/>
      <c r="K141" s="156"/>
      <c r="L141" s="156"/>
      <c r="M141" s="156"/>
      <c r="N141" s="156"/>
      <c r="O141" s="152"/>
      <c r="P141" s="152"/>
      <c r="Q141" s="69" t="s">
        <v>125</v>
      </c>
    </row>
    <row r="142" spans="1:17">
      <c r="A142" s="165" t="s">
        <v>83</v>
      </c>
      <c r="B142" s="168" t="str">
        <f t="shared" si="22"/>
        <v>제작</v>
      </c>
      <c r="C142" s="154" t="str">
        <f>IFERROR(VLOOKUP(A142,'거래소 최저가'!F:G,2,FALSE),"")</f>
        <v/>
      </c>
      <c r="D142" s="161" t="str">
        <f t="shared" si="25"/>
        <v/>
      </c>
      <c r="E142" s="171">
        <f t="shared" si="23"/>
        <v>5</v>
      </c>
      <c r="F142" s="36" t="s">
        <v>10</v>
      </c>
      <c r="G142" s="36">
        <v>32</v>
      </c>
      <c r="H142" s="36" t="str">
        <f>IFERROR(IF(F142="실링",G142/2000,IF(F142="골드",INT(G142*(1-0.01*IF(Q142="배틀아이템",검색!$I$22,IF(Q142="요리",검색!$J$22,IF(Q142="특수",검색!$K$22,IF(Q142="생활도구",검색!$L$22,"")))))),VLOOKUP(F142,'거래소 최저가'!A:B,2,FALSE)*G142/VLOOKUP(F142,'거래소 최저가'!A:D,4,FALSE))),"")</f>
        <v/>
      </c>
      <c r="I142" s="154">
        <f>IF(ISBLANK(A142),"",SUM(H142:H$207)-SUM(I143:I$207))</f>
        <v>15</v>
      </c>
      <c r="J142" s="154">
        <v>144</v>
      </c>
      <c r="K142" s="154">
        <f>IF(J142=1,1,INT(J142*(1-IF(Q142="배틀아이템",검색!$I$23,IF(Q142="요리",검색!$J$23,IF(Q142="특수",검색!$K$23,IF(Q142="생활도구",검색!$L$23))))*0.01)))</f>
        <v>144</v>
      </c>
      <c r="L142" s="154">
        <v>3</v>
      </c>
      <c r="M142" s="154">
        <f>L142*(1+0.01*IF(Q142="배틀아이템",검색!$I$21,IF(Q142="요리",검색!$J$21,IF(Q142="특수",검색!$K$21,IF(Q142="생활도구",검색!$L$21)))))</f>
        <v>3</v>
      </c>
      <c r="N142" s="154" t="str">
        <f t="shared" si="26"/>
        <v/>
      </c>
      <c r="O142" s="150" t="e">
        <f t="shared" si="24"/>
        <v>#VALUE!</v>
      </c>
      <c r="P142" s="150" t="e">
        <f t="shared" si="27"/>
        <v>#VALUE!</v>
      </c>
      <c r="Q142" s="66" t="s">
        <v>125</v>
      </c>
    </row>
    <row r="143" spans="1:17">
      <c r="A143" s="175"/>
      <c r="B143" s="169"/>
      <c r="C143" s="155"/>
      <c r="D143" s="159"/>
      <c r="E143" s="172"/>
      <c r="F143" s="37" t="s">
        <v>81</v>
      </c>
      <c r="G143" s="37">
        <v>10</v>
      </c>
      <c r="H143" s="37" t="str">
        <f>IFERROR(IF(F143="실링",G143/2000,IF(F143="골드",INT(G143*(1-0.01*IF(Q143="배틀아이템",검색!$I$22,IF(Q143="요리",검색!$J$22,IF(Q143="특수",검색!$K$22,IF(Q143="생활도구",검색!$L$22,"")))))),VLOOKUP(F143,'거래소 최저가'!A:B,2,FALSE)*G143/VLOOKUP(F143,'거래소 최저가'!A:D,4,FALSE))),"")</f>
        <v/>
      </c>
      <c r="I143" s="155"/>
      <c r="J143" s="155"/>
      <c r="K143" s="155"/>
      <c r="L143" s="155"/>
      <c r="M143" s="155"/>
      <c r="N143" s="155"/>
      <c r="O143" s="151"/>
      <c r="P143" s="151"/>
      <c r="Q143" s="67" t="s">
        <v>125</v>
      </c>
    </row>
    <row r="144" spans="1:17">
      <c r="A144" s="175"/>
      <c r="B144" s="169"/>
      <c r="C144" s="155"/>
      <c r="D144" s="159"/>
      <c r="E144" s="172"/>
      <c r="F144" s="37" t="s">
        <v>11</v>
      </c>
      <c r="G144" s="37">
        <v>12</v>
      </c>
      <c r="H144" s="37" t="str">
        <f>IFERROR(IF(F144="실링",G144/2000,IF(F144="골드",INT(G144*(1-0.01*IF(Q144="배틀아이템",검색!$I$22,IF(Q144="요리",검색!$J$22,IF(Q144="특수",검색!$K$22,IF(Q144="생활도구",검색!$L$22,"")))))),VLOOKUP(F144,'거래소 최저가'!A:B,2,FALSE)*G144/VLOOKUP(F144,'거래소 최저가'!A:D,4,FALSE))),"")</f>
        <v/>
      </c>
      <c r="I144" s="155"/>
      <c r="J144" s="155"/>
      <c r="K144" s="155"/>
      <c r="L144" s="155"/>
      <c r="M144" s="155"/>
      <c r="N144" s="155"/>
      <c r="O144" s="151"/>
      <c r="P144" s="151"/>
      <c r="Q144" s="67" t="s">
        <v>125</v>
      </c>
    </row>
    <row r="145" spans="1:17">
      <c r="A145" s="175"/>
      <c r="B145" s="169"/>
      <c r="C145" s="155"/>
      <c r="D145" s="159"/>
      <c r="E145" s="172"/>
      <c r="F145" s="37" t="s">
        <v>12</v>
      </c>
      <c r="G145" s="37">
        <v>4</v>
      </c>
      <c r="H145" s="37" t="str">
        <f>IFERROR(IF(F145="실링",G145/2000,IF(F145="골드",INT(G145*(1-0.01*IF(Q145="배틀아이템",검색!$I$22,IF(Q145="요리",검색!$J$22,IF(Q145="특수",검색!$K$22,IF(Q145="생활도구",검색!$L$22,"")))))),VLOOKUP(F145,'거래소 최저가'!A:B,2,FALSE)*G145/VLOOKUP(F145,'거래소 최저가'!A:D,4,FALSE))),"")</f>
        <v/>
      </c>
      <c r="I145" s="155"/>
      <c r="J145" s="155"/>
      <c r="K145" s="155"/>
      <c r="L145" s="155"/>
      <c r="M145" s="155"/>
      <c r="N145" s="155"/>
      <c r="O145" s="151"/>
      <c r="P145" s="151"/>
      <c r="Q145" s="67" t="s">
        <v>125</v>
      </c>
    </row>
    <row r="146" spans="1:17" ht="17.25" thickBot="1">
      <c r="A146" s="176"/>
      <c r="B146" s="170"/>
      <c r="C146" s="156"/>
      <c r="D146" s="160"/>
      <c r="E146" s="173"/>
      <c r="F146" s="38" t="s">
        <v>18</v>
      </c>
      <c r="G146" s="38">
        <v>15</v>
      </c>
      <c r="H146" s="38">
        <f>IFERROR(IF(F146="실링",G146/2000,IF(F146="골드",INT(G146*(1-0.01*IF(Q146="배틀아이템",검색!$I$22,IF(Q146="요리",검색!$J$22,IF(Q146="특수",검색!$K$22,IF(Q146="생활도구",검색!$L$22,"")))))),VLOOKUP(F146,'거래소 최저가'!A:B,2,FALSE)*G146/VLOOKUP(F146,'거래소 최저가'!A:D,4,FALSE))),"")</f>
        <v>15</v>
      </c>
      <c r="I146" s="156"/>
      <c r="J146" s="156"/>
      <c r="K146" s="156"/>
      <c r="L146" s="156"/>
      <c r="M146" s="156"/>
      <c r="N146" s="156"/>
      <c r="O146" s="152"/>
      <c r="P146" s="152"/>
      <c r="Q146" s="69" t="s">
        <v>125</v>
      </c>
    </row>
    <row r="147" spans="1:17">
      <c r="A147" s="165" t="s">
        <v>84</v>
      </c>
      <c r="B147" s="168" t="str">
        <f t="shared" ref="B147:B176" si="28">IFERROR(IF(ISBLANK(A147),"",IF(C147&gt;E147,"제작","구매")),"")</f>
        <v>제작</v>
      </c>
      <c r="C147" s="154" t="str">
        <f>IFERROR(VLOOKUP(A147,'거래소 최저가'!F:G,2,FALSE),"")</f>
        <v/>
      </c>
      <c r="D147" s="161" t="str">
        <f t="shared" si="25"/>
        <v/>
      </c>
      <c r="E147" s="171">
        <f t="shared" ref="E147:E152" si="29">IFERROR(IF(ISBLANK(A147),"",I147/L147),"")</f>
        <v>5</v>
      </c>
      <c r="F147" s="36" t="s">
        <v>10</v>
      </c>
      <c r="G147" s="36">
        <v>32</v>
      </c>
      <c r="H147" s="36" t="str">
        <f>IFERROR(IF(F147="실링",G147/2000,IF(F147="골드",INT(G147*(1-0.01*IF(Q147="배틀아이템",검색!$I$22,IF(Q147="요리",검색!$J$22,IF(Q147="특수",검색!$K$22,IF(Q147="생활도구",검색!$L$22,"")))))),VLOOKUP(F147,'거래소 최저가'!A:B,2,FALSE)*G147/VLOOKUP(F147,'거래소 최저가'!A:D,4,FALSE))),"")</f>
        <v/>
      </c>
      <c r="I147" s="154">
        <f>IF(ISBLANK(A147),"",SUM(H147:H$207)-SUM(I148:I$207))</f>
        <v>15</v>
      </c>
      <c r="J147" s="154">
        <v>144</v>
      </c>
      <c r="K147" s="154">
        <f>IF(J147=1,1,INT(J147*(1-IF(Q147="배틀아이템",검색!$I$23,IF(Q147="요리",검색!$J$23,IF(Q147="특수",검색!$K$23,IF(Q147="생활도구",검색!$L$23))))*0.01)))</f>
        <v>144</v>
      </c>
      <c r="L147" s="154">
        <v>3</v>
      </c>
      <c r="M147" s="154">
        <f>L147*(1+0.01*IF(Q147="배틀아이템",검색!$I$21,IF(Q147="요리",검색!$J$21,IF(Q147="특수",검색!$K$21,IF(Q147="생활도구",검색!$L$21)))))</f>
        <v>3</v>
      </c>
      <c r="N147" s="154" t="str">
        <f t="shared" si="26"/>
        <v/>
      </c>
      <c r="O147" s="150" t="e">
        <f t="shared" si="24"/>
        <v>#VALUE!</v>
      </c>
      <c r="P147" s="150" t="e">
        <f t="shared" si="27"/>
        <v>#VALUE!</v>
      </c>
      <c r="Q147" s="66" t="s">
        <v>125</v>
      </c>
    </row>
    <row r="148" spans="1:17">
      <c r="A148" s="175"/>
      <c r="B148" s="169"/>
      <c r="C148" s="155"/>
      <c r="D148" s="159"/>
      <c r="E148" s="172"/>
      <c r="F148" s="37" t="s">
        <v>13</v>
      </c>
      <c r="G148" s="37">
        <v>6</v>
      </c>
      <c r="H148" s="37" t="str">
        <f>IFERROR(IF(F148="실링",G148/2000,IF(F148="골드",INT(G148*(1-0.01*IF(Q148="배틀아이템",검색!$I$22,IF(Q148="요리",검색!$J$22,IF(Q148="특수",검색!$K$22,IF(Q148="생활도구",검색!$L$22,"")))))),VLOOKUP(F148,'거래소 최저가'!A:B,2,FALSE)*G148/VLOOKUP(F148,'거래소 최저가'!A:D,4,FALSE))),"")</f>
        <v/>
      </c>
      <c r="I148" s="155"/>
      <c r="J148" s="155"/>
      <c r="K148" s="155"/>
      <c r="L148" s="155"/>
      <c r="M148" s="155"/>
      <c r="N148" s="155"/>
      <c r="O148" s="151"/>
      <c r="P148" s="151"/>
      <c r="Q148" s="67" t="s">
        <v>125</v>
      </c>
    </row>
    <row r="149" spans="1:17">
      <c r="A149" s="175"/>
      <c r="B149" s="169"/>
      <c r="C149" s="155"/>
      <c r="D149" s="159"/>
      <c r="E149" s="172"/>
      <c r="F149" s="37" t="s">
        <v>11</v>
      </c>
      <c r="G149" s="37">
        <v>12</v>
      </c>
      <c r="H149" s="37" t="str">
        <f>IFERROR(IF(F149="실링",G149/2000,IF(F149="골드",INT(G149*(1-0.01*IF(Q149="배틀아이템",검색!$I$22,IF(Q149="요리",검색!$J$22,IF(Q149="특수",검색!$K$22,IF(Q149="생활도구",검색!$L$22,"")))))),VLOOKUP(F149,'거래소 최저가'!A:B,2,FALSE)*G149/VLOOKUP(F149,'거래소 최저가'!A:D,4,FALSE))),"")</f>
        <v/>
      </c>
      <c r="I149" s="155"/>
      <c r="J149" s="155"/>
      <c r="K149" s="155"/>
      <c r="L149" s="155"/>
      <c r="M149" s="155"/>
      <c r="N149" s="155"/>
      <c r="O149" s="151"/>
      <c r="P149" s="151"/>
      <c r="Q149" s="67" t="s">
        <v>125</v>
      </c>
    </row>
    <row r="150" spans="1:17">
      <c r="A150" s="175"/>
      <c r="B150" s="169"/>
      <c r="C150" s="155"/>
      <c r="D150" s="159"/>
      <c r="E150" s="172"/>
      <c r="F150" s="37" t="s">
        <v>12</v>
      </c>
      <c r="G150" s="37">
        <v>4</v>
      </c>
      <c r="H150" s="37" t="str">
        <f>IFERROR(IF(F150="실링",G150/2000,IF(F150="골드",INT(G150*(1-0.01*IF(Q150="배틀아이템",검색!$I$22,IF(Q150="요리",검색!$J$22,IF(Q150="특수",검색!$K$22,IF(Q150="생활도구",검색!$L$22,"")))))),VLOOKUP(F150,'거래소 최저가'!A:B,2,FALSE)*G150/VLOOKUP(F150,'거래소 최저가'!A:D,4,FALSE))),"")</f>
        <v/>
      </c>
      <c r="I150" s="155"/>
      <c r="J150" s="155"/>
      <c r="K150" s="155"/>
      <c r="L150" s="155"/>
      <c r="M150" s="155"/>
      <c r="N150" s="155"/>
      <c r="O150" s="151"/>
      <c r="P150" s="151"/>
      <c r="Q150" s="67" t="s">
        <v>125</v>
      </c>
    </row>
    <row r="151" spans="1:17" ht="17.25" thickBot="1">
      <c r="A151" s="176"/>
      <c r="B151" s="170"/>
      <c r="C151" s="156"/>
      <c r="D151" s="160"/>
      <c r="E151" s="173"/>
      <c r="F151" s="38" t="s">
        <v>18</v>
      </c>
      <c r="G151" s="38">
        <v>15</v>
      </c>
      <c r="H151" s="38">
        <f>IFERROR(IF(F151="실링",G151/2000,IF(F151="골드",INT(G151*(1-0.01*IF(Q151="배틀아이템",검색!$I$22,IF(Q151="요리",검색!$J$22,IF(Q151="특수",검색!$K$22,IF(Q151="생활도구",검색!$L$22,"")))))),VLOOKUP(F151,'거래소 최저가'!A:B,2,FALSE)*G151/VLOOKUP(F151,'거래소 최저가'!A:D,4,FALSE))),"")</f>
        <v>15</v>
      </c>
      <c r="I151" s="156"/>
      <c r="J151" s="156"/>
      <c r="K151" s="156"/>
      <c r="L151" s="156"/>
      <c r="M151" s="156"/>
      <c r="N151" s="156"/>
      <c r="O151" s="152"/>
      <c r="P151" s="152"/>
      <c r="Q151" s="69" t="s">
        <v>125</v>
      </c>
    </row>
    <row r="152" spans="1:17">
      <c r="A152" s="165" t="s">
        <v>85</v>
      </c>
      <c r="B152" s="168" t="str">
        <f t="shared" si="28"/>
        <v>제작</v>
      </c>
      <c r="C152" s="154" t="str">
        <f>IFERROR(VLOOKUP(A152,'거래소 최저가'!F:G,2,FALSE),"")</f>
        <v/>
      </c>
      <c r="D152" s="161" t="str">
        <f t="shared" si="25"/>
        <v/>
      </c>
      <c r="E152" s="171">
        <f t="shared" si="29"/>
        <v>5</v>
      </c>
      <c r="F152" s="36" t="s">
        <v>81</v>
      </c>
      <c r="G152" s="36">
        <v>5</v>
      </c>
      <c r="H152" s="36" t="str">
        <f>IFERROR(IF(F152="실링",G152/2000,IF(F152="골드",INT(G152*(1-0.01*IF(Q152="배틀아이템",검색!$I$22,IF(Q152="요리",검색!$J$22,IF(Q152="특수",검색!$K$22,IF(Q152="생활도구",검색!$L$22,"")))))),VLOOKUP(F152,'거래소 최저가'!A:B,2,FALSE)*G152/VLOOKUP(F152,'거래소 최저가'!A:D,4,FALSE))),"")</f>
        <v/>
      </c>
      <c r="I152" s="154">
        <f>IF(ISBLANK(A152),"",SUM(H152:H$207)-SUM(I153:I$207))</f>
        <v>15</v>
      </c>
      <c r="J152" s="154">
        <v>144</v>
      </c>
      <c r="K152" s="154">
        <f>IF(J152=1,1,INT(J152*(1-IF(Q152="배틀아이템",검색!$I$23,IF(Q152="요리",검색!$J$23,IF(Q152="특수",검색!$K$23,IF(Q152="생활도구",검색!$L$23))))*0.01)))</f>
        <v>144</v>
      </c>
      <c r="L152" s="154">
        <v>3</v>
      </c>
      <c r="M152" s="154">
        <f>L152*(1+0.01*IF(Q152="배틀아이템",검색!$I$21,IF(Q152="요리",검색!$J$21,IF(Q152="특수",검색!$K$21,IF(Q152="생활도구",검색!$L$21)))))</f>
        <v>3</v>
      </c>
      <c r="N152" s="154" t="str">
        <f t="shared" si="26"/>
        <v/>
      </c>
      <c r="O152" s="150" t="e">
        <f t="shared" ref="O152:O182" si="30">N152*10000</f>
        <v>#VALUE!</v>
      </c>
      <c r="P152" s="150" t="e">
        <f t="shared" si="27"/>
        <v>#VALUE!</v>
      </c>
      <c r="Q152" s="66" t="s">
        <v>125</v>
      </c>
    </row>
    <row r="153" spans="1:17">
      <c r="A153" s="175"/>
      <c r="B153" s="169"/>
      <c r="C153" s="155"/>
      <c r="D153" s="159"/>
      <c r="E153" s="172"/>
      <c r="F153" s="37" t="s">
        <v>10</v>
      </c>
      <c r="G153" s="37">
        <v>24</v>
      </c>
      <c r="H153" s="37" t="str">
        <f>IFERROR(IF(F153="실링",G153/2000,IF(F153="골드",INT(G153*(1-0.01*IF(Q153="배틀아이템",검색!$I$22,IF(Q153="요리",검색!$J$22,IF(Q153="특수",검색!$K$22,IF(Q153="생활도구",검색!$L$22,"")))))),VLOOKUP(F153,'거래소 최저가'!A:B,2,FALSE)*G153/VLOOKUP(F153,'거래소 최저가'!A:D,4,FALSE))),"")</f>
        <v/>
      </c>
      <c r="I153" s="155"/>
      <c r="J153" s="155"/>
      <c r="K153" s="155"/>
      <c r="L153" s="155"/>
      <c r="M153" s="155"/>
      <c r="N153" s="155"/>
      <c r="O153" s="151"/>
      <c r="P153" s="151"/>
      <c r="Q153" s="67" t="s">
        <v>125</v>
      </c>
    </row>
    <row r="154" spans="1:17">
      <c r="A154" s="175"/>
      <c r="B154" s="169"/>
      <c r="C154" s="155"/>
      <c r="D154" s="159"/>
      <c r="E154" s="172"/>
      <c r="F154" s="37" t="s">
        <v>11</v>
      </c>
      <c r="G154" s="37">
        <v>12</v>
      </c>
      <c r="H154" s="37" t="str">
        <f>IFERROR(IF(F154="실링",G154/2000,IF(F154="골드",INT(G154*(1-0.01*IF(Q154="배틀아이템",검색!$I$22,IF(Q154="요리",검색!$J$22,IF(Q154="특수",검색!$K$22,IF(Q154="생활도구",검색!$L$22,"")))))),VLOOKUP(F154,'거래소 최저가'!A:B,2,FALSE)*G154/VLOOKUP(F154,'거래소 최저가'!A:D,4,FALSE))),"")</f>
        <v/>
      </c>
      <c r="I154" s="155"/>
      <c r="J154" s="155"/>
      <c r="K154" s="155"/>
      <c r="L154" s="155"/>
      <c r="M154" s="155"/>
      <c r="N154" s="155"/>
      <c r="O154" s="151"/>
      <c r="P154" s="151"/>
      <c r="Q154" s="67" t="s">
        <v>125</v>
      </c>
    </row>
    <row r="155" spans="1:17">
      <c r="A155" s="175"/>
      <c r="B155" s="169"/>
      <c r="C155" s="155"/>
      <c r="D155" s="159"/>
      <c r="E155" s="172"/>
      <c r="F155" s="37" t="s">
        <v>12</v>
      </c>
      <c r="G155" s="37">
        <v>3</v>
      </c>
      <c r="H155" s="37" t="str">
        <f>IFERROR(IF(F155="실링",G155/2000,IF(F155="골드",INT(G155*(1-0.01*IF(Q155="배틀아이템",검색!$I$22,IF(Q155="요리",검색!$J$22,IF(Q155="특수",검색!$K$22,IF(Q155="생활도구",검색!$L$22,"")))))),VLOOKUP(F155,'거래소 최저가'!A:B,2,FALSE)*G155/VLOOKUP(F155,'거래소 최저가'!A:D,4,FALSE))),"")</f>
        <v/>
      </c>
      <c r="I155" s="155"/>
      <c r="J155" s="155"/>
      <c r="K155" s="155"/>
      <c r="L155" s="155"/>
      <c r="M155" s="155"/>
      <c r="N155" s="155"/>
      <c r="O155" s="151"/>
      <c r="P155" s="151"/>
      <c r="Q155" s="67" t="s">
        <v>125</v>
      </c>
    </row>
    <row r="156" spans="1:17" ht="17.25" thickBot="1">
      <c r="A156" s="176"/>
      <c r="B156" s="170"/>
      <c r="C156" s="156"/>
      <c r="D156" s="160"/>
      <c r="E156" s="173"/>
      <c r="F156" s="38" t="s">
        <v>18</v>
      </c>
      <c r="G156" s="38">
        <v>15</v>
      </c>
      <c r="H156" s="38">
        <f>IFERROR(IF(F156="실링",G156/2000,IF(F156="골드",INT(G156*(1-0.01*IF(Q156="배틀아이템",검색!$I$22,IF(Q156="요리",검색!$J$22,IF(Q156="특수",검색!$K$22,IF(Q156="생활도구",검색!$L$22,"")))))),VLOOKUP(F156,'거래소 최저가'!A:B,2,FALSE)*G156/VLOOKUP(F156,'거래소 최저가'!A:D,4,FALSE))),"")</f>
        <v>15</v>
      </c>
      <c r="I156" s="156"/>
      <c r="J156" s="156"/>
      <c r="K156" s="156"/>
      <c r="L156" s="156"/>
      <c r="M156" s="156"/>
      <c r="N156" s="156"/>
      <c r="O156" s="152"/>
      <c r="P156" s="152"/>
      <c r="Q156" s="69" t="s">
        <v>125</v>
      </c>
    </row>
    <row r="157" spans="1:17">
      <c r="A157" s="165" t="s">
        <v>86</v>
      </c>
      <c r="B157" s="168" t="str">
        <f t="shared" si="28"/>
        <v>제작</v>
      </c>
      <c r="C157" s="154" t="str">
        <f>IFERROR(VLOOKUP(A157,'거래소 최저가'!F:G,2,FALSE),"")</f>
        <v/>
      </c>
      <c r="D157" s="161" t="str">
        <f t="shared" si="25"/>
        <v/>
      </c>
      <c r="E157" s="171">
        <f t="shared" ref="E157:E172" si="31">IFERROR(IF(ISBLANK(A157),"",I157/L157),"")</f>
        <v>5</v>
      </c>
      <c r="F157" s="36" t="s">
        <v>81</v>
      </c>
      <c r="G157" s="36">
        <v>5</v>
      </c>
      <c r="H157" s="36" t="str">
        <f>IFERROR(IF(F157="실링",G157/2000,IF(F157="골드",INT(G157*(1-0.01*IF(Q157="배틀아이템",검색!$I$22,IF(Q157="요리",검색!$J$22,IF(Q157="특수",검색!$K$22,IF(Q157="생활도구",검색!$L$22,"")))))),VLOOKUP(F157,'거래소 최저가'!A:B,2,FALSE)*G157/VLOOKUP(F157,'거래소 최저가'!A:D,4,FALSE))),"")</f>
        <v/>
      </c>
      <c r="I157" s="154">
        <f>IF(ISBLANK(A157),"",SUM(H157:H$207)-SUM(I158:I$207))</f>
        <v>15</v>
      </c>
      <c r="J157" s="154">
        <v>144</v>
      </c>
      <c r="K157" s="154">
        <f>IF(J157=1,1,INT(J157*(1-IF(Q157="배틀아이템",검색!$I$23,IF(Q157="요리",검색!$J$23,IF(Q157="특수",검색!$K$23,IF(Q157="생활도구",검색!$L$23))))*0.01)))</f>
        <v>144</v>
      </c>
      <c r="L157" s="154">
        <v>3</v>
      </c>
      <c r="M157" s="154">
        <f>L157*(1+0.01*IF(Q157="배틀아이템",검색!$I$21,IF(Q157="요리",검색!$J$21,IF(Q157="특수",검색!$K$21,IF(Q157="생활도구",검색!$L$21)))))</f>
        <v>3</v>
      </c>
      <c r="N157" s="154" t="str">
        <f t="shared" si="26"/>
        <v/>
      </c>
      <c r="O157" s="150" t="e">
        <f t="shared" si="30"/>
        <v>#VALUE!</v>
      </c>
      <c r="P157" s="150" t="e">
        <f t="shared" si="27"/>
        <v>#VALUE!</v>
      </c>
      <c r="Q157" s="66" t="s">
        <v>125</v>
      </c>
    </row>
    <row r="158" spans="1:17">
      <c r="A158" s="175"/>
      <c r="B158" s="169"/>
      <c r="C158" s="155"/>
      <c r="D158" s="159"/>
      <c r="E158" s="172"/>
      <c r="F158" s="37" t="s">
        <v>10</v>
      </c>
      <c r="G158" s="37">
        <v>24</v>
      </c>
      <c r="H158" s="37" t="str">
        <f>IFERROR(IF(F158="실링",G158/2000,IF(F158="골드",INT(G158*(1-0.01*IF(Q158="배틀아이템",검색!$I$22,IF(Q158="요리",검색!$J$22,IF(Q158="특수",검색!$K$22,IF(Q158="생활도구",검색!$L$22,"")))))),VLOOKUP(F158,'거래소 최저가'!A:B,2,FALSE)*G158/VLOOKUP(F158,'거래소 최저가'!A:D,4,FALSE))),"")</f>
        <v/>
      </c>
      <c r="I158" s="155"/>
      <c r="J158" s="155"/>
      <c r="K158" s="155"/>
      <c r="L158" s="155"/>
      <c r="M158" s="155"/>
      <c r="N158" s="155"/>
      <c r="O158" s="151"/>
      <c r="P158" s="151"/>
      <c r="Q158" s="67" t="s">
        <v>125</v>
      </c>
    </row>
    <row r="159" spans="1:17">
      <c r="A159" s="175"/>
      <c r="B159" s="169"/>
      <c r="C159" s="155"/>
      <c r="D159" s="159"/>
      <c r="E159" s="172"/>
      <c r="F159" s="37" t="s">
        <v>11</v>
      </c>
      <c r="G159" s="37">
        <v>12</v>
      </c>
      <c r="H159" s="37" t="str">
        <f>IFERROR(IF(F159="실링",G159/2000,IF(F159="골드",INT(G159*(1-0.01*IF(Q159="배틀아이템",검색!$I$22,IF(Q159="요리",검색!$J$22,IF(Q159="특수",검색!$K$22,IF(Q159="생활도구",검색!$L$22,"")))))),VLOOKUP(F159,'거래소 최저가'!A:B,2,FALSE)*G159/VLOOKUP(F159,'거래소 최저가'!A:D,4,FALSE))),"")</f>
        <v/>
      </c>
      <c r="I159" s="155"/>
      <c r="J159" s="155"/>
      <c r="K159" s="155"/>
      <c r="L159" s="155"/>
      <c r="M159" s="155"/>
      <c r="N159" s="155"/>
      <c r="O159" s="151"/>
      <c r="P159" s="151"/>
      <c r="Q159" s="67" t="s">
        <v>125</v>
      </c>
    </row>
    <row r="160" spans="1:17">
      <c r="A160" s="175"/>
      <c r="B160" s="169"/>
      <c r="C160" s="155"/>
      <c r="D160" s="159"/>
      <c r="E160" s="172"/>
      <c r="F160" s="37" t="s">
        <v>12</v>
      </c>
      <c r="G160" s="37">
        <v>3</v>
      </c>
      <c r="H160" s="37" t="str">
        <f>IFERROR(IF(F160="실링",G160/2000,IF(F160="골드",INT(G160*(1-0.01*IF(Q160="배틀아이템",검색!$I$22,IF(Q160="요리",검색!$J$22,IF(Q160="특수",검색!$K$22,IF(Q160="생활도구",검색!$L$22,"")))))),VLOOKUP(F160,'거래소 최저가'!A:B,2,FALSE)*G160/VLOOKUP(F160,'거래소 최저가'!A:D,4,FALSE))),"")</f>
        <v/>
      </c>
      <c r="I160" s="155"/>
      <c r="J160" s="155"/>
      <c r="K160" s="155"/>
      <c r="L160" s="155"/>
      <c r="M160" s="155"/>
      <c r="N160" s="155"/>
      <c r="O160" s="151"/>
      <c r="P160" s="151"/>
      <c r="Q160" s="67" t="s">
        <v>125</v>
      </c>
    </row>
    <row r="161" spans="1:17" ht="17.25" thickBot="1">
      <c r="A161" s="176"/>
      <c r="B161" s="170"/>
      <c r="C161" s="156"/>
      <c r="D161" s="160"/>
      <c r="E161" s="173"/>
      <c r="F161" s="38" t="s">
        <v>18</v>
      </c>
      <c r="G161" s="38">
        <v>15</v>
      </c>
      <c r="H161" s="38">
        <f>IFERROR(IF(F161="실링",G161/2000,IF(F161="골드",INT(G161*(1-0.01*IF(Q161="배틀아이템",검색!$I$22,IF(Q161="요리",검색!$J$22,IF(Q161="특수",검색!$K$22,IF(Q161="생활도구",검색!$L$22,"")))))),VLOOKUP(F161,'거래소 최저가'!A:B,2,FALSE)*G161/VLOOKUP(F161,'거래소 최저가'!A:D,4,FALSE))),"")</f>
        <v>15</v>
      </c>
      <c r="I161" s="156"/>
      <c r="J161" s="156"/>
      <c r="K161" s="156"/>
      <c r="L161" s="156"/>
      <c r="M161" s="156"/>
      <c r="N161" s="156"/>
      <c r="O161" s="152"/>
      <c r="P161" s="152"/>
      <c r="Q161" s="69" t="s">
        <v>125</v>
      </c>
    </row>
    <row r="162" spans="1:17">
      <c r="A162" s="165" t="s">
        <v>87</v>
      </c>
      <c r="B162" s="168" t="str">
        <f t="shared" si="28"/>
        <v>제작</v>
      </c>
      <c r="C162" s="154" t="str">
        <f>IFERROR(VLOOKUP(A162,'거래소 최저가'!F:G,2,FALSE),"")</f>
        <v/>
      </c>
      <c r="D162" s="161" t="str">
        <f t="shared" si="25"/>
        <v/>
      </c>
      <c r="E162" s="171">
        <f t="shared" si="31"/>
        <v>5</v>
      </c>
      <c r="F162" s="36" t="s">
        <v>81</v>
      </c>
      <c r="G162" s="36">
        <v>5</v>
      </c>
      <c r="H162" s="36" t="str">
        <f>IFERROR(IF(F162="실링",G162/2000,IF(F162="골드",INT(G162*(1-0.01*IF(Q162="배틀아이템",검색!$I$22,IF(Q162="요리",검색!$J$22,IF(Q162="특수",검색!$K$22,IF(Q162="생활도구",검색!$L$22,"")))))),VLOOKUP(F162,'거래소 최저가'!A:B,2,FALSE)*G162/VLOOKUP(F162,'거래소 최저가'!A:D,4,FALSE))),"")</f>
        <v/>
      </c>
      <c r="I162" s="154">
        <f>IF(ISBLANK(A162),"",SUM(H162:H$207)-SUM(I163:I$207))</f>
        <v>15</v>
      </c>
      <c r="J162" s="154">
        <v>144</v>
      </c>
      <c r="K162" s="154">
        <f>IF(J162=1,1,INT(J162*(1-IF(Q162="배틀아이템",검색!$I$23,IF(Q162="요리",검색!$J$23,IF(Q162="특수",검색!$K$23,IF(Q162="생활도구",검색!$L$23))))*0.01)))</f>
        <v>144</v>
      </c>
      <c r="L162" s="154">
        <v>3</v>
      </c>
      <c r="M162" s="154">
        <f>L162*(1+0.01*IF(Q162="배틀아이템",검색!$I$21,IF(Q162="요리",검색!$J$21,IF(Q162="특수",검색!$K$21,IF(Q162="생활도구",검색!$L$21)))))</f>
        <v>3</v>
      </c>
      <c r="N162" s="154" t="str">
        <f t="shared" si="26"/>
        <v/>
      </c>
      <c r="O162" s="150" t="e">
        <f t="shared" si="30"/>
        <v>#VALUE!</v>
      </c>
      <c r="P162" s="150" t="e">
        <f t="shared" si="27"/>
        <v>#VALUE!</v>
      </c>
      <c r="Q162" s="66" t="s">
        <v>125</v>
      </c>
    </row>
    <row r="163" spans="1:17">
      <c r="A163" s="175"/>
      <c r="B163" s="169"/>
      <c r="C163" s="155"/>
      <c r="D163" s="159"/>
      <c r="E163" s="172"/>
      <c r="F163" s="37" t="s">
        <v>10</v>
      </c>
      <c r="G163" s="37">
        <v>24</v>
      </c>
      <c r="H163" s="37" t="str">
        <f>IFERROR(IF(F163="실링",G163/2000,IF(F163="골드",INT(G163*(1-0.01*IF(Q163="배틀아이템",검색!$I$22,IF(Q163="요리",검색!$J$22,IF(Q163="특수",검색!$K$22,IF(Q163="생활도구",검색!$L$22,"")))))),VLOOKUP(F163,'거래소 최저가'!A:B,2,FALSE)*G163/VLOOKUP(F163,'거래소 최저가'!A:D,4,FALSE))),"")</f>
        <v/>
      </c>
      <c r="I163" s="155"/>
      <c r="J163" s="155"/>
      <c r="K163" s="155"/>
      <c r="L163" s="155"/>
      <c r="M163" s="155"/>
      <c r="N163" s="155"/>
      <c r="O163" s="151"/>
      <c r="P163" s="151"/>
      <c r="Q163" s="67" t="s">
        <v>125</v>
      </c>
    </row>
    <row r="164" spans="1:17">
      <c r="A164" s="175"/>
      <c r="B164" s="169"/>
      <c r="C164" s="155"/>
      <c r="D164" s="159"/>
      <c r="E164" s="172"/>
      <c r="F164" s="37" t="s">
        <v>11</v>
      </c>
      <c r="G164" s="37">
        <v>12</v>
      </c>
      <c r="H164" s="37" t="str">
        <f>IFERROR(IF(F164="실링",G164/2000,IF(F164="골드",INT(G164*(1-0.01*IF(Q164="배틀아이템",검색!$I$22,IF(Q164="요리",검색!$J$22,IF(Q164="특수",검색!$K$22,IF(Q164="생활도구",검색!$L$22,"")))))),VLOOKUP(F164,'거래소 최저가'!A:B,2,FALSE)*G164/VLOOKUP(F164,'거래소 최저가'!A:D,4,FALSE))),"")</f>
        <v/>
      </c>
      <c r="I164" s="155"/>
      <c r="J164" s="155"/>
      <c r="K164" s="155"/>
      <c r="L164" s="155"/>
      <c r="M164" s="155"/>
      <c r="N164" s="155"/>
      <c r="O164" s="151"/>
      <c r="P164" s="151"/>
      <c r="Q164" s="67" t="s">
        <v>125</v>
      </c>
    </row>
    <row r="165" spans="1:17">
      <c r="A165" s="175"/>
      <c r="B165" s="169"/>
      <c r="C165" s="155"/>
      <c r="D165" s="159"/>
      <c r="E165" s="172"/>
      <c r="F165" s="37" t="s">
        <v>12</v>
      </c>
      <c r="G165" s="37">
        <v>3</v>
      </c>
      <c r="H165" s="37" t="str">
        <f>IFERROR(IF(F165="실링",G165/2000,IF(F165="골드",INT(G165*(1-0.01*IF(Q165="배틀아이템",검색!$I$22,IF(Q165="요리",검색!$J$22,IF(Q165="특수",검색!$K$22,IF(Q165="생활도구",검색!$L$22,"")))))),VLOOKUP(F165,'거래소 최저가'!A:B,2,FALSE)*G165/VLOOKUP(F165,'거래소 최저가'!A:D,4,FALSE))),"")</f>
        <v/>
      </c>
      <c r="I165" s="155"/>
      <c r="J165" s="155"/>
      <c r="K165" s="155"/>
      <c r="L165" s="155"/>
      <c r="M165" s="155"/>
      <c r="N165" s="155"/>
      <c r="O165" s="151"/>
      <c r="P165" s="151"/>
      <c r="Q165" s="67" t="s">
        <v>125</v>
      </c>
    </row>
    <row r="166" spans="1:17" ht="17.25" thickBot="1">
      <c r="A166" s="176"/>
      <c r="B166" s="170"/>
      <c r="C166" s="156"/>
      <c r="D166" s="160"/>
      <c r="E166" s="173"/>
      <c r="F166" s="38" t="s">
        <v>18</v>
      </c>
      <c r="G166" s="38">
        <v>15</v>
      </c>
      <c r="H166" s="38">
        <f>IFERROR(IF(F166="실링",G166/2000,IF(F166="골드",INT(G166*(1-0.01*IF(Q166="배틀아이템",검색!$I$22,IF(Q166="요리",검색!$J$22,IF(Q166="특수",검색!$K$22,IF(Q166="생활도구",검색!$L$22,"")))))),VLOOKUP(F166,'거래소 최저가'!A:B,2,FALSE)*G166/VLOOKUP(F166,'거래소 최저가'!A:D,4,FALSE))),"")</f>
        <v>15</v>
      </c>
      <c r="I166" s="156"/>
      <c r="J166" s="156"/>
      <c r="K166" s="156"/>
      <c r="L166" s="156"/>
      <c r="M166" s="156"/>
      <c r="N166" s="156"/>
      <c r="O166" s="152"/>
      <c r="P166" s="152"/>
      <c r="Q166" s="69" t="s">
        <v>125</v>
      </c>
    </row>
    <row r="167" spans="1:17">
      <c r="A167" s="165" t="s">
        <v>88</v>
      </c>
      <c r="B167" s="168" t="str">
        <f t="shared" si="28"/>
        <v>제작</v>
      </c>
      <c r="C167" s="154" t="str">
        <f>IFERROR(VLOOKUP(A167,'거래소 최저가'!F:G,2,FALSE),"")</f>
        <v/>
      </c>
      <c r="D167" s="161" t="str">
        <f t="shared" si="25"/>
        <v/>
      </c>
      <c r="E167" s="171">
        <f t="shared" si="31"/>
        <v>5</v>
      </c>
      <c r="F167" s="36" t="s">
        <v>81</v>
      </c>
      <c r="G167" s="36">
        <v>5</v>
      </c>
      <c r="H167" s="36" t="str">
        <f>IFERROR(IF(F167="실링",G167/2000,IF(F167="골드",INT(G167*(1-0.01*IF(Q167="배틀아이템",검색!$I$22,IF(Q167="요리",검색!$J$22,IF(Q167="특수",검색!$K$22,IF(Q167="생활도구",검색!$L$22,"")))))),VLOOKUP(F167,'거래소 최저가'!A:B,2,FALSE)*G167/VLOOKUP(F167,'거래소 최저가'!A:D,4,FALSE))),"")</f>
        <v/>
      </c>
      <c r="I167" s="154">
        <f>IF(ISBLANK(A167),"",SUM(H167:H$207)-SUM(I168:I$207))</f>
        <v>15</v>
      </c>
      <c r="J167" s="154">
        <v>144</v>
      </c>
      <c r="K167" s="154">
        <f>IF(J167=1,1,INT(J167*(1-IF(Q167="배틀아이템",검색!$I$23,IF(Q167="요리",검색!$J$23,IF(Q167="특수",검색!$K$23,IF(Q167="생활도구",검색!$L$23))))*0.01)))</f>
        <v>144</v>
      </c>
      <c r="L167" s="154">
        <v>3</v>
      </c>
      <c r="M167" s="154">
        <f>L167*(1+0.01*IF(Q167="배틀아이템",검색!$I$21,IF(Q167="요리",검색!$J$21,IF(Q167="특수",검색!$K$21,IF(Q167="생활도구",검색!$L$21)))))</f>
        <v>3</v>
      </c>
      <c r="N167" s="154" t="str">
        <f t="shared" si="26"/>
        <v/>
      </c>
      <c r="O167" s="150" t="e">
        <f t="shared" si="30"/>
        <v>#VALUE!</v>
      </c>
      <c r="P167" s="150" t="e">
        <f t="shared" si="27"/>
        <v>#VALUE!</v>
      </c>
      <c r="Q167" s="66" t="s">
        <v>125</v>
      </c>
    </row>
    <row r="168" spans="1:17">
      <c r="A168" s="175"/>
      <c r="B168" s="169"/>
      <c r="C168" s="155"/>
      <c r="D168" s="159"/>
      <c r="E168" s="172"/>
      <c r="F168" s="37" t="s">
        <v>10</v>
      </c>
      <c r="G168" s="37">
        <v>24</v>
      </c>
      <c r="H168" s="37" t="str">
        <f>IFERROR(IF(F168="실링",G168/2000,IF(F168="골드",INT(G168*(1-0.01*IF(Q168="배틀아이템",검색!$I$22,IF(Q168="요리",검색!$J$22,IF(Q168="특수",검색!$K$22,IF(Q168="생활도구",검색!$L$22,"")))))),VLOOKUP(F168,'거래소 최저가'!A:B,2,FALSE)*G168/VLOOKUP(F168,'거래소 최저가'!A:D,4,FALSE))),"")</f>
        <v/>
      </c>
      <c r="I168" s="155"/>
      <c r="J168" s="155"/>
      <c r="K168" s="155"/>
      <c r="L168" s="155"/>
      <c r="M168" s="155"/>
      <c r="N168" s="155"/>
      <c r="O168" s="151"/>
      <c r="P168" s="151"/>
      <c r="Q168" s="67" t="s">
        <v>125</v>
      </c>
    </row>
    <row r="169" spans="1:17">
      <c r="A169" s="175"/>
      <c r="B169" s="169"/>
      <c r="C169" s="155"/>
      <c r="D169" s="159"/>
      <c r="E169" s="172"/>
      <c r="F169" s="37" t="s">
        <v>11</v>
      </c>
      <c r="G169" s="37">
        <v>12</v>
      </c>
      <c r="H169" s="37" t="str">
        <f>IFERROR(IF(F169="실링",G169/2000,IF(F169="골드",INT(G169*(1-0.01*IF(Q169="배틀아이템",검색!$I$22,IF(Q169="요리",검색!$J$22,IF(Q169="특수",검색!$K$22,IF(Q169="생활도구",검색!$L$22,"")))))),VLOOKUP(F169,'거래소 최저가'!A:B,2,FALSE)*G169/VLOOKUP(F169,'거래소 최저가'!A:D,4,FALSE))),"")</f>
        <v/>
      </c>
      <c r="I169" s="155"/>
      <c r="J169" s="155"/>
      <c r="K169" s="155"/>
      <c r="L169" s="155"/>
      <c r="M169" s="155"/>
      <c r="N169" s="155"/>
      <c r="O169" s="151"/>
      <c r="P169" s="151"/>
      <c r="Q169" s="67" t="s">
        <v>125</v>
      </c>
    </row>
    <row r="170" spans="1:17">
      <c r="A170" s="175"/>
      <c r="B170" s="169"/>
      <c r="C170" s="155"/>
      <c r="D170" s="159"/>
      <c r="E170" s="172"/>
      <c r="F170" s="37" t="s">
        <v>12</v>
      </c>
      <c r="G170" s="37">
        <v>3</v>
      </c>
      <c r="H170" s="37" t="str">
        <f>IFERROR(IF(F170="실링",G170/2000,IF(F170="골드",INT(G170*(1-0.01*IF(Q170="배틀아이템",검색!$I$22,IF(Q170="요리",검색!$J$22,IF(Q170="특수",검색!$K$22,IF(Q170="생활도구",검색!$L$22,"")))))),VLOOKUP(F170,'거래소 최저가'!A:B,2,FALSE)*G170/VLOOKUP(F170,'거래소 최저가'!A:D,4,FALSE))),"")</f>
        <v/>
      </c>
      <c r="I170" s="155"/>
      <c r="J170" s="155"/>
      <c r="K170" s="155"/>
      <c r="L170" s="155"/>
      <c r="M170" s="155"/>
      <c r="N170" s="155"/>
      <c r="O170" s="151"/>
      <c r="P170" s="151"/>
      <c r="Q170" s="67" t="s">
        <v>125</v>
      </c>
    </row>
    <row r="171" spans="1:17" ht="17.25" thickBot="1">
      <c r="A171" s="176"/>
      <c r="B171" s="170"/>
      <c r="C171" s="156"/>
      <c r="D171" s="160"/>
      <c r="E171" s="173"/>
      <c r="F171" s="38" t="s">
        <v>18</v>
      </c>
      <c r="G171" s="38">
        <v>15</v>
      </c>
      <c r="H171" s="38">
        <f>IFERROR(IF(F171="실링",G171/2000,IF(F171="골드",INT(G171*(1-0.01*IF(Q171="배틀아이템",검색!$I$22,IF(Q171="요리",검색!$J$22,IF(Q171="특수",검색!$K$22,IF(Q171="생활도구",검색!$L$22,"")))))),VLOOKUP(F171,'거래소 최저가'!A:B,2,FALSE)*G171/VLOOKUP(F171,'거래소 최저가'!A:D,4,FALSE))),"")</f>
        <v>15</v>
      </c>
      <c r="I171" s="156"/>
      <c r="J171" s="156"/>
      <c r="K171" s="156"/>
      <c r="L171" s="156"/>
      <c r="M171" s="156"/>
      <c r="N171" s="156"/>
      <c r="O171" s="152"/>
      <c r="P171" s="152"/>
      <c r="Q171" s="69" t="s">
        <v>125</v>
      </c>
    </row>
    <row r="172" spans="1:17">
      <c r="A172" s="165" t="s">
        <v>89</v>
      </c>
      <c r="B172" s="168" t="str">
        <f t="shared" si="28"/>
        <v>제작</v>
      </c>
      <c r="C172" s="154" t="str">
        <f>IFERROR(VLOOKUP(A172,'거래소 최저가'!F:G,2,FALSE),"")</f>
        <v/>
      </c>
      <c r="D172" s="161" t="str">
        <f t="shared" si="25"/>
        <v/>
      </c>
      <c r="E172" s="171">
        <f t="shared" si="31"/>
        <v>5</v>
      </c>
      <c r="F172" s="36" t="s">
        <v>10</v>
      </c>
      <c r="G172" s="36">
        <v>35</v>
      </c>
      <c r="H172" s="36" t="str">
        <f>IFERROR(IF(F172="실링",G172/2000,IF(F172="골드",INT(G172*(1-0.01*IF(Q172="배틀아이템",검색!$I$22,IF(Q172="요리",검색!$J$22,IF(Q172="특수",검색!$K$22,IF(Q172="생활도구",검색!$L$22,"")))))),VLOOKUP(F172,'거래소 최저가'!A:B,2,FALSE)*G172/VLOOKUP(F172,'거래소 최저가'!A:D,4,FALSE))),"")</f>
        <v/>
      </c>
      <c r="I172" s="154">
        <f>IF(ISBLANK(A172),"",SUM(H172:H$207)-SUM(I173:I$207))</f>
        <v>15</v>
      </c>
      <c r="J172" s="154">
        <v>144</v>
      </c>
      <c r="K172" s="154">
        <f>IF(J172=1,1,INT(J172*(1-IF(Q172="배틀아이템",검색!$I$23,IF(Q172="요리",검색!$J$23,IF(Q172="특수",검색!$K$23,IF(Q172="생활도구",검색!$L$23))))*0.01)))</f>
        <v>144</v>
      </c>
      <c r="L172" s="154">
        <v>3</v>
      </c>
      <c r="M172" s="154">
        <f>L172*(1+0.01*IF(Q172="배틀아이템",검색!$I$21,IF(Q172="요리",검색!$J$21,IF(Q172="특수",검색!$K$21,IF(Q172="생활도구",검색!$L$21)))))</f>
        <v>3</v>
      </c>
      <c r="N172" s="154" t="str">
        <f t="shared" si="26"/>
        <v/>
      </c>
      <c r="O172" s="150" t="e">
        <f t="shared" si="30"/>
        <v>#VALUE!</v>
      </c>
      <c r="P172" s="150" t="e">
        <f t="shared" si="27"/>
        <v>#VALUE!</v>
      </c>
      <c r="Q172" s="66" t="s">
        <v>125</v>
      </c>
    </row>
    <row r="173" spans="1:17">
      <c r="A173" s="175"/>
      <c r="B173" s="169"/>
      <c r="C173" s="155"/>
      <c r="D173" s="159"/>
      <c r="E173" s="172"/>
      <c r="F173" s="37" t="s">
        <v>11</v>
      </c>
      <c r="G173" s="37">
        <v>22</v>
      </c>
      <c r="H173" s="37" t="str">
        <f>IFERROR(IF(F173="실링",G173/2000,IF(F173="골드",INT(G173*(1-0.01*IF(Q173="배틀아이템",검색!$I$22,IF(Q173="요리",검색!$J$22,IF(Q173="특수",검색!$K$22,IF(Q173="생활도구",검색!$L$22,"")))))),VLOOKUP(F173,'거래소 최저가'!A:B,2,FALSE)*G173/VLOOKUP(F173,'거래소 최저가'!A:D,4,FALSE))),"")</f>
        <v/>
      </c>
      <c r="I173" s="155"/>
      <c r="J173" s="155"/>
      <c r="K173" s="155"/>
      <c r="L173" s="155"/>
      <c r="M173" s="155"/>
      <c r="N173" s="155"/>
      <c r="O173" s="151"/>
      <c r="P173" s="151"/>
      <c r="Q173" s="67" t="s">
        <v>125</v>
      </c>
    </row>
    <row r="174" spans="1:17">
      <c r="A174" s="175"/>
      <c r="B174" s="169"/>
      <c r="C174" s="155"/>
      <c r="D174" s="159"/>
      <c r="E174" s="172"/>
      <c r="F174" s="37" t="s">
        <v>25</v>
      </c>
      <c r="G174" s="37">
        <v>22</v>
      </c>
      <c r="H174" s="37" t="str">
        <f>IFERROR(IF(F174="실링",G174/2000,IF(F174="골드",INT(G174*(1-0.01*IF(Q174="배틀아이템",검색!$I$22,IF(Q174="요리",검색!$J$22,IF(Q174="특수",검색!$K$22,IF(Q174="생활도구",검색!$L$22,"")))))),VLOOKUP(F174,'거래소 최저가'!A:B,2,FALSE)*G174/VLOOKUP(F174,'거래소 최저가'!A:D,4,FALSE))),"")</f>
        <v/>
      </c>
      <c r="I174" s="155"/>
      <c r="J174" s="155"/>
      <c r="K174" s="155"/>
      <c r="L174" s="155"/>
      <c r="M174" s="155"/>
      <c r="N174" s="155"/>
      <c r="O174" s="151"/>
      <c r="P174" s="151"/>
      <c r="Q174" s="67" t="s">
        <v>125</v>
      </c>
    </row>
    <row r="175" spans="1:17" ht="17.25" thickBot="1">
      <c r="A175" s="176"/>
      <c r="B175" s="170"/>
      <c r="C175" s="156"/>
      <c r="D175" s="160"/>
      <c r="E175" s="173"/>
      <c r="F175" s="38" t="s">
        <v>18</v>
      </c>
      <c r="G175" s="38">
        <v>15</v>
      </c>
      <c r="H175" s="38">
        <f>IFERROR(IF(F175="실링",G175/2000,IF(F175="골드",INT(G175*(1-0.01*IF(Q175="배틀아이템",검색!$I$22,IF(Q175="요리",검색!$J$22,IF(Q175="특수",검색!$K$22,IF(Q175="생활도구",검색!$L$22,"")))))),VLOOKUP(F175,'거래소 최저가'!A:B,2,FALSE)*G175/VLOOKUP(F175,'거래소 최저가'!A:D,4,FALSE))),"")</f>
        <v>15</v>
      </c>
      <c r="I175" s="156"/>
      <c r="J175" s="156"/>
      <c r="K175" s="156"/>
      <c r="L175" s="156"/>
      <c r="M175" s="156"/>
      <c r="N175" s="156"/>
      <c r="O175" s="152"/>
      <c r="P175" s="152"/>
      <c r="Q175" s="69" t="s">
        <v>125</v>
      </c>
    </row>
    <row r="176" spans="1:17">
      <c r="A176" s="165" t="s">
        <v>90</v>
      </c>
      <c r="B176" s="168" t="str">
        <f t="shared" si="28"/>
        <v>제작</v>
      </c>
      <c r="C176" s="154" t="str">
        <f>IFERROR(VLOOKUP(A176,'거래소 최저가'!F:G,2,FALSE),"")</f>
        <v/>
      </c>
      <c r="D176" s="161" t="str">
        <f t="shared" si="25"/>
        <v/>
      </c>
      <c r="E176" s="171">
        <f t="shared" ref="E176:E208" si="32">IFERROR(IF(ISBLANK(A176),"",I176/L176),"")</f>
        <v>10</v>
      </c>
      <c r="F176" s="36" t="s">
        <v>10</v>
      </c>
      <c r="G176" s="36">
        <v>35</v>
      </c>
      <c r="H176" s="36" t="str">
        <f>IFERROR(IF(F176="실링",G176/2000,IF(F176="골드",INT(G176*(1-0.01*IF(Q176="배틀아이템",검색!$I$22,IF(Q176="요리",검색!$J$22,IF(Q176="특수",검색!$K$22,IF(Q176="생활도구",검색!$L$22,"")))))),VLOOKUP(F176,'거래소 최저가'!A:B,2,FALSE)*G176/VLOOKUP(F176,'거래소 최저가'!A:D,4,FALSE))),"")</f>
        <v/>
      </c>
      <c r="I176" s="154">
        <f>IF(ISBLANK(A176),"",SUM(H176:H$207)-SUM(I177:I$207))</f>
        <v>30</v>
      </c>
      <c r="J176" s="154">
        <v>288</v>
      </c>
      <c r="K176" s="154">
        <f>IF(J176=1,1,INT(J176*(1-IF(Q176="배틀아이템",검색!$I$23,IF(Q176="요리",검색!$J$23,IF(Q176="특수",검색!$K$23,IF(Q176="생활도구",검색!$L$23))))*0.01)))</f>
        <v>288</v>
      </c>
      <c r="L176" s="154">
        <v>3</v>
      </c>
      <c r="M176" s="154">
        <f>L176*(1+0.01*IF(Q176="배틀아이템",검색!$I$21,IF(Q176="요리",검색!$J$21,IF(Q176="특수",검색!$K$21,IF(Q176="생활도구",검색!$L$21)))))</f>
        <v>3</v>
      </c>
      <c r="N176" s="154" t="str">
        <f t="shared" si="26"/>
        <v/>
      </c>
      <c r="O176" s="150" t="e">
        <f t="shared" si="30"/>
        <v>#VALUE!</v>
      </c>
      <c r="P176" s="150" t="e">
        <f t="shared" si="27"/>
        <v>#VALUE!</v>
      </c>
      <c r="Q176" s="66" t="s">
        <v>125</v>
      </c>
    </row>
    <row r="177" spans="1:17">
      <c r="A177" s="175"/>
      <c r="B177" s="169"/>
      <c r="C177" s="155"/>
      <c r="D177" s="159"/>
      <c r="E177" s="172"/>
      <c r="F177" s="37" t="s">
        <v>25</v>
      </c>
      <c r="G177" s="37">
        <v>2</v>
      </c>
      <c r="H177" s="37" t="str">
        <f>IFERROR(IF(F177="실링",G177/2000,IF(F177="골드",INT(G177*(1-0.01*IF(Q177="배틀아이템",검색!$I$22,IF(Q177="요리",검색!$J$22,IF(Q177="특수",검색!$K$22,IF(Q177="생활도구",검색!$L$22,"")))))),VLOOKUP(F177,'거래소 최저가'!A:B,2,FALSE)*G177/VLOOKUP(F177,'거래소 최저가'!A:D,4,FALSE))),"")</f>
        <v/>
      </c>
      <c r="I177" s="155"/>
      <c r="J177" s="155"/>
      <c r="K177" s="155"/>
      <c r="L177" s="155"/>
      <c r="M177" s="155"/>
      <c r="N177" s="155"/>
      <c r="O177" s="151"/>
      <c r="P177" s="151"/>
      <c r="Q177" s="67" t="s">
        <v>125</v>
      </c>
    </row>
    <row r="178" spans="1:17">
      <c r="A178" s="175"/>
      <c r="B178" s="169"/>
      <c r="C178" s="155"/>
      <c r="D178" s="159"/>
      <c r="E178" s="172"/>
      <c r="F178" s="37" t="s">
        <v>47</v>
      </c>
      <c r="G178" s="37">
        <v>2</v>
      </c>
      <c r="H178" s="37" t="str">
        <f>IFERROR(IF(F178="실링",G178/2000,IF(F178="골드",INT(G178*(1-0.01*IF(Q178="배틀아이템",검색!$I$22,IF(Q178="요리",검색!$J$22,IF(Q178="특수",검색!$K$22,IF(Q178="생활도구",검색!$L$22,"")))))),VLOOKUP(F178,'거래소 최저가'!A:B,2,FALSE)*G178/VLOOKUP(F178,'거래소 최저가'!A:D,4,FALSE))),"")</f>
        <v/>
      </c>
      <c r="I178" s="155"/>
      <c r="J178" s="155"/>
      <c r="K178" s="155"/>
      <c r="L178" s="155"/>
      <c r="M178" s="155"/>
      <c r="N178" s="155"/>
      <c r="O178" s="151"/>
      <c r="P178" s="151"/>
      <c r="Q178" s="67" t="s">
        <v>125</v>
      </c>
    </row>
    <row r="179" spans="1:17">
      <c r="A179" s="175"/>
      <c r="B179" s="169"/>
      <c r="C179" s="155"/>
      <c r="D179" s="159"/>
      <c r="E179" s="172"/>
      <c r="F179" s="37" t="s">
        <v>11</v>
      </c>
      <c r="G179" s="37">
        <v>15</v>
      </c>
      <c r="H179" s="37" t="str">
        <f>IFERROR(IF(F179="실링",G179/2000,IF(F179="골드",INT(G179*(1-0.01*IF(Q179="배틀아이템",검색!$I$22,IF(Q179="요리",검색!$J$22,IF(Q179="특수",검색!$K$22,IF(Q179="생활도구",검색!$L$22,"")))))),VLOOKUP(F179,'거래소 최저가'!A:B,2,FALSE)*G179/VLOOKUP(F179,'거래소 최저가'!A:D,4,FALSE))),"")</f>
        <v/>
      </c>
      <c r="I179" s="155"/>
      <c r="J179" s="155"/>
      <c r="K179" s="155"/>
      <c r="L179" s="155"/>
      <c r="M179" s="155"/>
      <c r="N179" s="155"/>
      <c r="O179" s="151"/>
      <c r="P179" s="151"/>
      <c r="Q179" s="67" t="s">
        <v>125</v>
      </c>
    </row>
    <row r="180" spans="1:17">
      <c r="A180" s="175"/>
      <c r="B180" s="169"/>
      <c r="C180" s="155"/>
      <c r="D180" s="159"/>
      <c r="E180" s="172"/>
      <c r="F180" s="37" t="s">
        <v>12</v>
      </c>
      <c r="G180" s="37">
        <v>5</v>
      </c>
      <c r="H180" s="37" t="str">
        <f>IFERROR(IF(F180="실링",G180/2000,IF(F180="골드",INT(G180*(1-0.01*IF(Q180="배틀아이템",검색!$I$22,IF(Q180="요리",검색!$J$22,IF(Q180="특수",검색!$K$22,IF(Q180="생활도구",검색!$L$22,"")))))),VLOOKUP(F180,'거래소 최저가'!A:B,2,FALSE)*G180/VLOOKUP(F180,'거래소 최저가'!A:D,4,FALSE))),"")</f>
        <v/>
      </c>
      <c r="I180" s="155"/>
      <c r="J180" s="155"/>
      <c r="K180" s="155"/>
      <c r="L180" s="155"/>
      <c r="M180" s="155"/>
      <c r="N180" s="155"/>
      <c r="O180" s="151"/>
      <c r="P180" s="151"/>
      <c r="Q180" s="67" t="s">
        <v>125</v>
      </c>
    </row>
    <row r="181" spans="1:17" ht="17.25" thickBot="1">
      <c r="A181" s="176"/>
      <c r="B181" s="170"/>
      <c r="C181" s="156"/>
      <c r="D181" s="160"/>
      <c r="E181" s="173"/>
      <c r="F181" s="38" t="s">
        <v>18</v>
      </c>
      <c r="G181" s="38">
        <v>30</v>
      </c>
      <c r="H181" s="38">
        <f>IFERROR(IF(F181="실링",G181/2000,IF(F181="골드",INT(G181*(1-0.01*IF(Q181="배틀아이템",검색!$I$22,IF(Q181="요리",검색!$J$22,IF(Q181="특수",검색!$K$22,IF(Q181="생활도구",검색!$L$22,"")))))),VLOOKUP(F181,'거래소 최저가'!A:B,2,FALSE)*G181/VLOOKUP(F181,'거래소 최저가'!A:D,4,FALSE))),"")</f>
        <v>30</v>
      </c>
      <c r="I181" s="156"/>
      <c r="J181" s="156"/>
      <c r="K181" s="156"/>
      <c r="L181" s="156"/>
      <c r="M181" s="156"/>
      <c r="N181" s="156"/>
      <c r="O181" s="152"/>
      <c r="P181" s="152"/>
      <c r="Q181" s="69" t="s">
        <v>125</v>
      </c>
    </row>
    <row r="182" spans="1:17">
      <c r="A182" s="165" t="s">
        <v>91</v>
      </c>
      <c r="B182" s="168" t="str">
        <f t="shared" ref="B182" si="33">IFERROR(IF(ISBLANK(A182),"",IF(C182&gt;E182,"제작","구매")),"")</f>
        <v>제작</v>
      </c>
      <c r="C182" s="154" t="str">
        <f>IFERROR(VLOOKUP(A182,'거래소 최저가'!F:G,2,FALSE),"")</f>
        <v/>
      </c>
      <c r="D182" s="161" t="str">
        <f t="shared" si="25"/>
        <v/>
      </c>
      <c r="E182" s="171">
        <f t="shared" si="32"/>
        <v>5</v>
      </c>
      <c r="F182" s="36" t="s">
        <v>0</v>
      </c>
      <c r="G182" s="36">
        <v>27</v>
      </c>
      <c r="H182" s="36" t="str">
        <f>IFERROR(IF(F182="실링",G182/2000,IF(F182="골드",INT(G182*(1-0.01*IF(Q182="배틀아이템",검색!$I$22,IF(Q182="요리",검색!$J$22,IF(Q182="특수",검색!$K$22,IF(Q182="생활도구",검색!$L$22,"")))))),VLOOKUP(F182,'거래소 최저가'!A:B,2,FALSE)*G182/VLOOKUP(F182,'거래소 최저가'!A:D,4,FALSE))),"")</f>
        <v/>
      </c>
      <c r="I182" s="154">
        <f>IF(ISBLANK(A182),"",SUM(H182:H$207)-SUM(I183:I$207))</f>
        <v>15</v>
      </c>
      <c r="J182" s="154">
        <v>144</v>
      </c>
      <c r="K182" s="154">
        <f>IF(J182=1,1,INT(J182*(1-IF(Q182="배틀아이템",검색!$I$23,IF(Q182="요리",검색!$J$23,IF(Q182="특수",검색!$K$23,IF(Q182="생활도구",검색!$L$23))))*0.01)))</f>
        <v>144</v>
      </c>
      <c r="L182" s="154">
        <v>3</v>
      </c>
      <c r="M182" s="154">
        <f>L182*(1+0.01*IF(Q182="배틀아이템",검색!$I$21,IF(Q182="요리",검색!$J$21,IF(Q182="특수",검색!$K$21,IF(Q182="생활도구",검색!$L$21)))))</f>
        <v>3</v>
      </c>
      <c r="N182" s="154" t="str">
        <f t="shared" si="26"/>
        <v/>
      </c>
      <c r="O182" s="150" t="e">
        <f t="shared" si="30"/>
        <v>#VALUE!</v>
      </c>
      <c r="P182" s="150" t="e">
        <f t="shared" si="27"/>
        <v>#VALUE!</v>
      </c>
      <c r="Q182" s="66" t="s">
        <v>125</v>
      </c>
    </row>
    <row r="183" spans="1:17">
      <c r="A183" s="175"/>
      <c r="B183" s="169"/>
      <c r="C183" s="155"/>
      <c r="D183" s="159"/>
      <c r="E183" s="172"/>
      <c r="F183" s="37" t="s">
        <v>7</v>
      </c>
      <c r="G183" s="37">
        <v>17</v>
      </c>
      <c r="H183" s="37" t="str">
        <f>IFERROR(IF(F183="실링",G183/2000,IF(F183="골드",INT(G183*(1-0.01*IF(Q183="배틀아이템",검색!$I$22,IF(Q183="요리",검색!$J$22,IF(Q183="특수",검색!$K$22,IF(Q183="생활도구",검색!$L$22,"")))))),VLOOKUP(F183,'거래소 최저가'!A:B,2,FALSE)*G183/VLOOKUP(F183,'거래소 최저가'!A:D,4,FALSE))),"")</f>
        <v/>
      </c>
      <c r="I183" s="155"/>
      <c r="J183" s="155"/>
      <c r="K183" s="155"/>
      <c r="L183" s="155"/>
      <c r="M183" s="155"/>
      <c r="N183" s="155"/>
      <c r="O183" s="151"/>
      <c r="P183" s="151"/>
      <c r="Q183" s="67" t="s">
        <v>125</v>
      </c>
    </row>
    <row r="184" spans="1:17">
      <c r="A184" s="175"/>
      <c r="B184" s="169"/>
      <c r="C184" s="155"/>
      <c r="D184" s="159"/>
      <c r="E184" s="172"/>
      <c r="F184" s="37" t="s">
        <v>25</v>
      </c>
      <c r="G184" s="37">
        <v>17</v>
      </c>
      <c r="H184" s="37" t="str">
        <f>IFERROR(IF(F184="실링",G184/2000,IF(F184="골드",INT(G184*(1-0.01*IF(Q184="배틀아이템",검색!$I$22,IF(Q184="요리",검색!$J$22,IF(Q184="특수",검색!$K$22,IF(Q184="생활도구",검색!$L$22,"")))))),VLOOKUP(F184,'거래소 최저가'!A:B,2,FALSE)*G184/VLOOKUP(F184,'거래소 최저가'!A:D,4,FALSE))),"")</f>
        <v/>
      </c>
      <c r="I184" s="155"/>
      <c r="J184" s="155"/>
      <c r="K184" s="155"/>
      <c r="L184" s="155"/>
      <c r="M184" s="155"/>
      <c r="N184" s="155"/>
      <c r="O184" s="151"/>
      <c r="P184" s="151"/>
      <c r="Q184" s="67" t="s">
        <v>125</v>
      </c>
    </row>
    <row r="185" spans="1:17" ht="17.25" thickBot="1">
      <c r="A185" s="176"/>
      <c r="B185" s="170"/>
      <c r="C185" s="156"/>
      <c r="D185" s="160"/>
      <c r="E185" s="173"/>
      <c r="F185" s="38" t="s">
        <v>18</v>
      </c>
      <c r="G185" s="38">
        <v>15</v>
      </c>
      <c r="H185" s="38">
        <f>IFERROR(IF(F185="실링",G185/2000,IF(F185="골드",INT(G185*(1-0.01*IF(Q185="배틀아이템",검색!$I$22,IF(Q185="요리",검색!$J$22,IF(Q185="특수",검색!$K$22,IF(Q185="생활도구",검색!$L$22,"")))))),VLOOKUP(F185,'거래소 최저가'!A:B,2,FALSE)*G185/VLOOKUP(F185,'거래소 최저가'!A:D,4,FALSE))),"")</f>
        <v>15</v>
      </c>
      <c r="I185" s="156"/>
      <c r="J185" s="156"/>
      <c r="K185" s="156"/>
      <c r="L185" s="156"/>
      <c r="M185" s="156"/>
      <c r="N185" s="156"/>
      <c r="O185" s="152"/>
      <c r="P185" s="152"/>
      <c r="Q185" s="69" t="s">
        <v>125</v>
      </c>
    </row>
    <row r="186" spans="1:17">
      <c r="A186" s="165" t="s">
        <v>92</v>
      </c>
      <c r="B186" s="168" t="str">
        <f t="shared" ref="B186:B218" si="34">IFERROR(IF(ISBLANK(A186),"",IF(C186&gt;E186,"제작","구매")),"")</f>
        <v>제작</v>
      </c>
      <c r="C186" s="154" t="str">
        <f>IFERROR(VLOOKUP(A186,'거래소 최저가'!F:G,2,FALSE),"")</f>
        <v/>
      </c>
      <c r="D186" s="161" t="str">
        <f t="shared" si="25"/>
        <v/>
      </c>
      <c r="E186" s="171">
        <f t="shared" si="32"/>
        <v>5</v>
      </c>
      <c r="F186" s="36" t="s">
        <v>93</v>
      </c>
      <c r="G186" s="36">
        <v>13</v>
      </c>
      <c r="H186" s="36" t="str">
        <f>IFERROR(IF(F186="실링",G186/2000,IF(F186="골드",INT(G186*(1-0.01*IF(Q186="배틀아이템",검색!$I$22,IF(Q186="요리",검색!$J$22,IF(Q186="특수",검색!$K$22,IF(Q186="생활도구",검색!$L$22,"")))))),VLOOKUP(F186,'거래소 최저가'!A:B,2,FALSE)*G186/VLOOKUP(F186,'거래소 최저가'!A:D,4,FALSE))),"")</f>
        <v/>
      </c>
      <c r="I186" s="154">
        <f>IF(ISBLANK(A186),"",SUM(H186:H$207)-SUM(I187:I$207))</f>
        <v>15</v>
      </c>
      <c r="J186" s="154">
        <v>144</v>
      </c>
      <c r="K186" s="154">
        <f>IF(J186=1,1,INT(J186*(1-IF(Q186="배틀아이템",검색!$I$23,IF(Q186="요리",검색!$J$23,IF(Q186="특수",검색!$K$23,IF(Q186="생활도구",검색!$L$23))))*0.01)))</f>
        <v>144</v>
      </c>
      <c r="L186" s="154">
        <v>3</v>
      </c>
      <c r="M186" s="154">
        <f>L186*(1+0.01*IF(Q186="배틀아이템",검색!$I$21,IF(Q186="요리",검색!$J$21,IF(Q186="특수",검색!$K$21,IF(Q186="생활도구",검색!$L$21)))))</f>
        <v>3</v>
      </c>
      <c r="N186" s="154" t="str">
        <f t="shared" si="26"/>
        <v/>
      </c>
      <c r="O186" s="150" t="e">
        <f t="shared" ref="O186:O211" si="35">N186*10000</f>
        <v>#VALUE!</v>
      </c>
      <c r="P186" s="150" t="e">
        <f t="shared" si="27"/>
        <v>#VALUE!</v>
      </c>
      <c r="Q186" s="66" t="s">
        <v>125</v>
      </c>
    </row>
    <row r="187" spans="1:17">
      <c r="A187" s="175"/>
      <c r="B187" s="169"/>
      <c r="C187" s="155"/>
      <c r="D187" s="159"/>
      <c r="E187" s="172"/>
      <c r="F187" s="37" t="s">
        <v>11</v>
      </c>
      <c r="G187" s="37">
        <v>15</v>
      </c>
      <c r="H187" s="37" t="str">
        <f>IFERROR(IF(F187="실링",G187/2000,IF(F187="골드",INT(G187*(1-0.01*IF(Q187="배틀아이템",검색!$I$22,IF(Q187="요리",검색!$J$22,IF(Q187="특수",검색!$K$22,IF(Q187="생활도구",검색!$L$22,"")))))),VLOOKUP(F187,'거래소 최저가'!A:B,2,FALSE)*G187/VLOOKUP(F187,'거래소 최저가'!A:D,4,FALSE))),"")</f>
        <v/>
      </c>
      <c r="I187" s="155"/>
      <c r="J187" s="155"/>
      <c r="K187" s="155"/>
      <c r="L187" s="155"/>
      <c r="M187" s="155"/>
      <c r="N187" s="155"/>
      <c r="O187" s="151"/>
      <c r="P187" s="151"/>
      <c r="Q187" s="67" t="s">
        <v>125</v>
      </c>
    </row>
    <row r="188" spans="1:17">
      <c r="A188" s="175"/>
      <c r="B188" s="169"/>
      <c r="C188" s="155"/>
      <c r="D188" s="159"/>
      <c r="E188" s="172"/>
      <c r="F188" s="37" t="s">
        <v>12</v>
      </c>
      <c r="G188" s="37">
        <v>3</v>
      </c>
      <c r="H188" s="37" t="str">
        <f>IFERROR(IF(F188="실링",G188/2000,IF(F188="골드",INT(G188*(1-0.01*IF(Q188="배틀아이템",검색!$I$22,IF(Q188="요리",검색!$J$22,IF(Q188="특수",검색!$K$22,IF(Q188="생활도구",검색!$L$22,"")))))),VLOOKUP(F188,'거래소 최저가'!A:B,2,FALSE)*G188/VLOOKUP(F188,'거래소 최저가'!A:D,4,FALSE))),"")</f>
        <v/>
      </c>
      <c r="I188" s="155"/>
      <c r="J188" s="155"/>
      <c r="K188" s="155"/>
      <c r="L188" s="155"/>
      <c r="M188" s="155"/>
      <c r="N188" s="155"/>
      <c r="O188" s="151"/>
      <c r="P188" s="151"/>
      <c r="Q188" s="67" t="s">
        <v>125</v>
      </c>
    </row>
    <row r="189" spans="1:17" ht="17.25" thickBot="1">
      <c r="A189" s="176"/>
      <c r="B189" s="170"/>
      <c r="C189" s="156"/>
      <c r="D189" s="160"/>
      <c r="E189" s="173"/>
      <c r="F189" s="38" t="s">
        <v>18</v>
      </c>
      <c r="G189" s="38">
        <v>15</v>
      </c>
      <c r="H189" s="38">
        <f>IFERROR(IF(F189="실링",G189/2000,IF(F189="골드",INT(G189*(1-0.01*IF(Q189="배틀아이템",검색!$I$22,IF(Q189="요리",검색!$J$22,IF(Q189="특수",검색!$K$22,IF(Q189="생활도구",검색!$L$22,"")))))),VLOOKUP(F189,'거래소 최저가'!A:B,2,FALSE)*G189/VLOOKUP(F189,'거래소 최저가'!A:D,4,FALSE))),"")</f>
        <v>15</v>
      </c>
      <c r="I189" s="156"/>
      <c r="J189" s="156"/>
      <c r="K189" s="156"/>
      <c r="L189" s="156"/>
      <c r="M189" s="156"/>
      <c r="N189" s="156"/>
      <c r="O189" s="152"/>
      <c r="P189" s="152"/>
      <c r="Q189" s="69" t="s">
        <v>125</v>
      </c>
    </row>
    <row r="190" spans="1:17">
      <c r="A190" s="165" t="s">
        <v>94</v>
      </c>
      <c r="B190" s="168" t="str">
        <f t="shared" si="34"/>
        <v>제작</v>
      </c>
      <c r="C190" s="154" t="str">
        <f>IFERROR(VLOOKUP(A190,'거래소 최저가'!F:G,2,FALSE),"")</f>
        <v/>
      </c>
      <c r="D190" s="161" t="str">
        <f t="shared" si="25"/>
        <v/>
      </c>
      <c r="E190" s="171">
        <f t="shared" si="32"/>
        <v>5</v>
      </c>
      <c r="F190" s="36" t="s">
        <v>93</v>
      </c>
      <c r="G190" s="36">
        <v>12</v>
      </c>
      <c r="H190" s="36" t="str">
        <f>IFERROR(IF(F190="실링",G190/2000,IF(F190="골드",INT(G190*(1-0.01*IF(Q190="배틀아이템",검색!$I$22,IF(Q190="요리",검색!$J$22,IF(Q190="특수",검색!$K$22,IF(Q190="생활도구",검색!$L$22,"")))))),VLOOKUP(F190,'거래소 최저가'!A:B,2,FALSE)*G190/VLOOKUP(F190,'거래소 최저가'!A:D,4,FALSE))),"")</f>
        <v/>
      </c>
      <c r="I190" s="154">
        <f>IF(ISBLANK(A190),"",SUM(H190:H$207)-SUM(I191:I$207))</f>
        <v>15</v>
      </c>
      <c r="J190" s="154">
        <v>144</v>
      </c>
      <c r="K190" s="154">
        <f>IF(J190=1,1,INT(J190*(1-IF(Q190="배틀아이템",검색!$I$23,IF(Q190="요리",검색!$J$23,IF(Q190="특수",검색!$K$23,IF(Q190="생활도구",검색!$L$23))))*0.01)))</f>
        <v>144</v>
      </c>
      <c r="L190" s="154">
        <v>3</v>
      </c>
      <c r="M190" s="154">
        <f>L190*(1+0.01*IF(Q190="배틀아이템",검색!$I$21,IF(Q190="요리",검색!$J$21,IF(Q190="특수",검색!$K$21,IF(Q190="생활도구",검색!$L$21)))))</f>
        <v>3</v>
      </c>
      <c r="N190" s="154" t="str">
        <f t="shared" si="26"/>
        <v/>
      </c>
      <c r="O190" s="150" t="e">
        <f t="shared" si="35"/>
        <v>#VALUE!</v>
      </c>
      <c r="P190" s="150" t="e">
        <f t="shared" si="27"/>
        <v>#VALUE!</v>
      </c>
      <c r="Q190" s="66" t="s">
        <v>125</v>
      </c>
    </row>
    <row r="191" spans="1:17">
      <c r="A191" s="175"/>
      <c r="B191" s="169"/>
      <c r="C191" s="155"/>
      <c r="D191" s="159"/>
      <c r="E191" s="172"/>
      <c r="F191" s="37" t="s">
        <v>11</v>
      </c>
      <c r="G191" s="37">
        <v>15</v>
      </c>
      <c r="H191" s="37" t="str">
        <f>IFERROR(IF(F191="실링",G191/2000,IF(F191="골드",INT(G191*(1-0.01*IF(Q191="배틀아이템",검색!$I$22,IF(Q191="요리",검색!$J$22,IF(Q191="특수",검색!$K$22,IF(Q191="생활도구",검색!$L$22,"")))))),VLOOKUP(F191,'거래소 최저가'!A:B,2,FALSE)*G191/VLOOKUP(F191,'거래소 최저가'!A:D,4,FALSE))),"")</f>
        <v/>
      </c>
      <c r="I191" s="155"/>
      <c r="J191" s="155"/>
      <c r="K191" s="155"/>
      <c r="L191" s="155"/>
      <c r="M191" s="155"/>
      <c r="N191" s="155"/>
      <c r="O191" s="151"/>
      <c r="P191" s="151"/>
      <c r="Q191" s="67" t="s">
        <v>125</v>
      </c>
    </row>
    <row r="192" spans="1:17">
      <c r="A192" s="175"/>
      <c r="B192" s="169"/>
      <c r="C192" s="155"/>
      <c r="D192" s="159"/>
      <c r="E192" s="172"/>
      <c r="F192" s="37" t="s">
        <v>12</v>
      </c>
      <c r="G192" s="37">
        <v>3</v>
      </c>
      <c r="H192" s="37" t="str">
        <f>IFERROR(IF(F192="실링",G192/2000,IF(F192="골드",INT(G192*(1-0.01*IF(Q192="배틀아이템",검색!$I$22,IF(Q192="요리",검색!$J$22,IF(Q192="특수",검색!$K$22,IF(Q192="생활도구",검색!$L$22,"")))))),VLOOKUP(F192,'거래소 최저가'!A:B,2,FALSE)*G192/VLOOKUP(F192,'거래소 최저가'!A:D,4,FALSE))),"")</f>
        <v/>
      </c>
      <c r="I192" s="155"/>
      <c r="J192" s="155"/>
      <c r="K192" s="155"/>
      <c r="L192" s="155"/>
      <c r="M192" s="155"/>
      <c r="N192" s="155"/>
      <c r="O192" s="151"/>
      <c r="P192" s="151"/>
      <c r="Q192" s="67" t="s">
        <v>125</v>
      </c>
    </row>
    <row r="193" spans="1:17" ht="17.25" thickBot="1">
      <c r="A193" s="176"/>
      <c r="B193" s="170"/>
      <c r="C193" s="156"/>
      <c r="D193" s="160"/>
      <c r="E193" s="173"/>
      <c r="F193" s="38" t="s">
        <v>18</v>
      </c>
      <c r="G193" s="38">
        <v>15</v>
      </c>
      <c r="H193" s="38">
        <f>IFERROR(IF(F193="실링",G193/2000,IF(F193="골드",INT(G193*(1-0.01*IF(Q193="배틀아이템",검색!$I$22,IF(Q193="요리",검색!$J$22,IF(Q193="특수",검색!$K$22,IF(Q193="생활도구",검색!$L$22,"")))))),VLOOKUP(F193,'거래소 최저가'!A:B,2,FALSE)*G193/VLOOKUP(F193,'거래소 최저가'!A:D,4,FALSE))),"")</f>
        <v>15</v>
      </c>
      <c r="I193" s="156"/>
      <c r="J193" s="156"/>
      <c r="K193" s="156"/>
      <c r="L193" s="156"/>
      <c r="M193" s="156"/>
      <c r="N193" s="156"/>
      <c r="O193" s="152"/>
      <c r="P193" s="152"/>
      <c r="Q193" s="69" t="s">
        <v>125</v>
      </c>
    </row>
    <row r="194" spans="1:17">
      <c r="A194" s="165" t="s">
        <v>95</v>
      </c>
      <c r="B194" s="168" t="str">
        <f t="shared" si="34"/>
        <v>제작</v>
      </c>
      <c r="C194" s="154" t="str">
        <f>IFERROR(VLOOKUP(A194,'거래소 최저가'!F:G,2,FALSE),"")</f>
        <v/>
      </c>
      <c r="D194" s="161" t="str">
        <f t="shared" si="25"/>
        <v/>
      </c>
      <c r="E194" s="171">
        <f t="shared" ref="E194:E198" si="36">IFERROR(IF(ISBLANK(A194),"",I194/L194),"")</f>
        <v>5</v>
      </c>
      <c r="F194" s="36" t="s">
        <v>10</v>
      </c>
      <c r="G194" s="36">
        <v>38</v>
      </c>
      <c r="H194" s="36" t="str">
        <f>IFERROR(IF(F194="실링",G194/2000,IF(F194="골드",INT(G194*(1-0.01*IF(Q194="배틀아이템",검색!$I$22,IF(Q194="요리",검색!$J$22,IF(Q194="특수",검색!$K$22,IF(Q194="생활도구",검색!$L$22,"")))))),VLOOKUP(F194,'거래소 최저가'!A:B,2,FALSE)*G194/VLOOKUP(F194,'거래소 최저가'!A:D,4,FALSE))),"")</f>
        <v/>
      </c>
      <c r="I194" s="154">
        <f>IF(ISBLANK(A194),"",SUM(H194:H$207)-SUM(I195:I$207))</f>
        <v>15</v>
      </c>
      <c r="J194" s="154">
        <v>144</v>
      </c>
      <c r="K194" s="154">
        <f>IF(J194=1,1,INT(J194*(1-IF(Q194="배틀아이템",검색!$I$23,IF(Q194="요리",검색!$J$23,IF(Q194="특수",검색!$K$23,IF(Q194="생활도구",검색!$L$23))))*0.01)))</f>
        <v>144</v>
      </c>
      <c r="L194" s="154">
        <v>3</v>
      </c>
      <c r="M194" s="154">
        <f>L194*(1+0.01*IF(Q194="배틀아이템",검색!$I$21,IF(Q194="요리",검색!$J$21,IF(Q194="특수",검색!$K$21,IF(Q194="생활도구",검색!$L$21)))))</f>
        <v>3</v>
      </c>
      <c r="N194" s="154" t="str">
        <f t="shared" si="26"/>
        <v/>
      </c>
      <c r="O194" s="150" t="e">
        <f t="shared" si="35"/>
        <v>#VALUE!</v>
      </c>
      <c r="P194" s="150" t="e">
        <f t="shared" si="27"/>
        <v>#VALUE!</v>
      </c>
      <c r="Q194" s="66" t="s">
        <v>125</v>
      </c>
    </row>
    <row r="195" spans="1:17">
      <c r="A195" s="175"/>
      <c r="B195" s="169"/>
      <c r="C195" s="155"/>
      <c r="D195" s="159"/>
      <c r="E195" s="172"/>
      <c r="F195" s="37" t="s">
        <v>1</v>
      </c>
      <c r="G195" s="37">
        <v>8</v>
      </c>
      <c r="H195" s="37" t="str">
        <f>IFERROR(IF(F195="실링",G195/2000,IF(F195="골드",INT(G195*(1-0.01*IF(Q195="배틀아이템",검색!$I$22,IF(Q195="요리",검색!$J$22,IF(Q195="특수",검색!$K$22,IF(Q195="생활도구",검색!$L$22,"")))))),VLOOKUP(F195,'거래소 최저가'!A:B,2,FALSE)*G195/VLOOKUP(F195,'거래소 최저가'!A:D,4,FALSE))),"")</f>
        <v/>
      </c>
      <c r="I195" s="155"/>
      <c r="J195" s="155"/>
      <c r="K195" s="155"/>
      <c r="L195" s="155"/>
      <c r="M195" s="155"/>
      <c r="N195" s="155"/>
      <c r="O195" s="151"/>
      <c r="P195" s="151"/>
      <c r="Q195" s="67" t="s">
        <v>125</v>
      </c>
    </row>
    <row r="196" spans="1:17">
      <c r="A196" s="175"/>
      <c r="B196" s="169"/>
      <c r="C196" s="155"/>
      <c r="D196" s="159"/>
      <c r="E196" s="172"/>
      <c r="F196" s="37" t="s">
        <v>12</v>
      </c>
      <c r="G196" s="37">
        <v>4</v>
      </c>
      <c r="H196" s="37" t="str">
        <f>IFERROR(IF(F196="실링",G196/2000,IF(F196="골드",INT(G196*(1-0.01*IF(Q196="배틀아이템",검색!$I$22,IF(Q196="요리",검색!$J$22,IF(Q196="특수",검색!$K$22,IF(Q196="생활도구",검색!$L$22,"")))))),VLOOKUP(F196,'거래소 최저가'!A:B,2,FALSE)*G196/VLOOKUP(F196,'거래소 최저가'!A:D,4,FALSE))),"")</f>
        <v/>
      </c>
      <c r="I196" s="155"/>
      <c r="J196" s="155"/>
      <c r="K196" s="155"/>
      <c r="L196" s="155"/>
      <c r="M196" s="155"/>
      <c r="N196" s="155"/>
      <c r="O196" s="151"/>
      <c r="P196" s="151"/>
      <c r="Q196" s="67" t="s">
        <v>125</v>
      </c>
    </row>
    <row r="197" spans="1:17" ht="17.25" thickBot="1">
      <c r="A197" s="176"/>
      <c r="B197" s="170"/>
      <c r="C197" s="156"/>
      <c r="D197" s="160"/>
      <c r="E197" s="173"/>
      <c r="F197" s="38" t="s">
        <v>18</v>
      </c>
      <c r="G197" s="38">
        <v>15</v>
      </c>
      <c r="H197" s="38">
        <f>IFERROR(IF(F197="실링",G197/2000,IF(F197="골드",INT(G197*(1-0.01*IF(Q197="배틀아이템",검색!$I$22,IF(Q197="요리",검색!$J$22,IF(Q197="특수",검색!$K$22,IF(Q197="생활도구",검색!$L$22,"")))))),VLOOKUP(F197,'거래소 최저가'!A:B,2,FALSE)*G197/VLOOKUP(F197,'거래소 최저가'!A:D,4,FALSE))),"")</f>
        <v>15</v>
      </c>
      <c r="I197" s="156"/>
      <c r="J197" s="156"/>
      <c r="K197" s="156"/>
      <c r="L197" s="156"/>
      <c r="M197" s="156"/>
      <c r="N197" s="156"/>
      <c r="O197" s="152"/>
      <c r="P197" s="152"/>
      <c r="Q197" s="69" t="s">
        <v>125</v>
      </c>
    </row>
    <row r="198" spans="1:17" s="31" customFormat="1">
      <c r="A198" s="165" t="s">
        <v>96</v>
      </c>
      <c r="B198" s="168" t="str">
        <f t="shared" si="34"/>
        <v>제작</v>
      </c>
      <c r="C198" s="154" t="str">
        <f>IFERROR(VLOOKUP(A198,'거래소 최저가'!F:G,2,FALSE),"")</f>
        <v/>
      </c>
      <c r="D198" s="161" t="str">
        <f t="shared" ref="D198:D211" si="37">IFERROR(INT(C198*0.05)+1,"")</f>
        <v/>
      </c>
      <c r="E198" s="171">
        <f t="shared" si="36"/>
        <v>10</v>
      </c>
      <c r="F198" s="36" t="s">
        <v>81</v>
      </c>
      <c r="G198" s="36">
        <v>2</v>
      </c>
      <c r="H198" s="36" t="str">
        <f>IFERROR(IF(F198="실링",G198/2000,IF(F198="골드",INT(G198*(1-0.01*IF(Q198="배틀아이템",검색!$I$22,IF(Q198="요리",검색!$J$22,IF(Q198="특수",검색!$K$22,IF(Q198="생활도구",검색!$L$22,"")))))),VLOOKUP(F198,'거래소 최저가'!A:B,2,FALSE)*G198/VLOOKUP(F198,'거래소 최저가'!A:D,4,FALSE))),"")</f>
        <v/>
      </c>
      <c r="I198" s="154">
        <f>IF(ISBLANK(A198),"",SUM(H198:H$207)-SUM(I199:I$207))</f>
        <v>30</v>
      </c>
      <c r="J198" s="154">
        <v>288</v>
      </c>
      <c r="K198" s="154">
        <f>IF(J198=1,1,INT(J198*(1-IF(Q198="배틀아이템",검색!$I$23,IF(Q198="요리",검색!$J$23,IF(Q198="특수",검색!$K$23,IF(Q198="생활도구",검색!$L$23))))*0.01)))</f>
        <v>288</v>
      </c>
      <c r="L198" s="154">
        <v>3</v>
      </c>
      <c r="M198" s="154">
        <f>L198*(1+0.01*IF(Q198="배틀아이템",검색!$I$21,IF(Q198="요리",검색!$J$21,IF(Q198="특수",검색!$K$21,IF(Q198="생활도구",검색!$L$21)))))</f>
        <v>3</v>
      </c>
      <c r="N198" s="154" t="str">
        <f t="shared" ref="N198:N211" si="38">IFERROR((((C198-D198)*M198-I198)/K198),"")</f>
        <v/>
      </c>
      <c r="O198" s="150" t="e">
        <f t="shared" si="35"/>
        <v>#VALUE!</v>
      </c>
      <c r="P198" s="150" t="e">
        <f t="shared" ref="P198:P211" si="39">((C198-D198-1)*M198-I198)/K198*10000</f>
        <v>#VALUE!</v>
      </c>
      <c r="Q198" s="66" t="s">
        <v>125</v>
      </c>
    </row>
    <row r="199" spans="1:17" s="30" customFormat="1">
      <c r="A199" s="175"/>
      <c r="B199" s="169"/>
      <c r="C199" s="155"/>
      <c r="D199" s="159"/>
      <c r="E199" s="172"/>
      <c r="F199" s="37" t="s">
        <v>0</v>
      </c>
      <c r="G199" s="37">
        <v>40</v>
      </c>
      <c r="H199" s="37" t="str">
        <f>IFERROR(IF(F199="실링",G199/2000,IF(F199="골드",INT(G199*(1-0.01*IF(Q199="배틀아이템",검색!$I$22,IF(Q199="요리",검색!$J$22,IF(Q199="특수",검색!$K$22,IF(Q199="생활도구",검색!$L$22,"")))))),VLOOKUP(F199,'거래소 최저가'!A:B,2,FALSE)*G199/VLOOKUP(F199,'거래소 최저가'!A:D,4,FALSE))),"")</f>
        <v/>
      </c>
      <c r="I199" s="155"/>
      <c r="J199" s="155"/>
      <c r="K199" s="155"/>
      <c r="L199" s="155"/>
      <c r="M199" s="155"/>
      <c r="N199" s="155"/>
      <c r="O199" s="151"/>
      <c r="P199" s="151"/>
      <c r="Q199" s="67" t="s">
        <v>125</v>
      </c>
    </row>
    <row r="200" spans="1:17" s="30" customFormat="1">
      <c r="A200" s="175"/>
      <c r="B200" s="169"/>
      <c r="C200" s="155"/>
      <c r="D200" s="159"/>
      <c r="E200" s="172"/>
      <c r="F200" s="37" t="s">
        <v>7</v>
      </c>
      <c r="G200" s="37">
        <v>20</v>
      </c>
      <c r="H200" s="37" t="str">
        <f>IFERROR(IF(F200="실링",G200/2000,IF(F200="골드",INT(G200*(1-0.01*IF(Q200="배틀아이템",검색!$I$22,IF(Q200="요리",검색!$J$22,IF(Q200="특수",검색!$K$22,IF(Q200="생활도구",검색!$L$22,"")))))),VLOOKUP(F200,'거래소 최저가'!A:B,2,FALSE)*G200/VLOOKUP(F200,'거래소 최저가'!A:D,4,FALSE))),"")</f>
        <v/>
      </c>
      <c r="I200" s="155"/>
      <c r="J200" s="155"/>
      <c r="K200" s="155"/>
      <c r="L200" s="155"/>
      <c r="M200" s="155"/>
      <c r="N200" s="155"/>
      <c r="O200" s="151"/>
      <c r="P200" s="151"/>
      <c r="Q200" s="67" t="s">
        <v>125</v>
      </c>
    </row>
    <row r="201" spans="1:17" s="30" customFormat="1">
      <c r="A201" s="175"/>
      <c r="B201" s="169"/>
      <c r="C201" s="155"/>
      <c r="D201" s="159"/>
      <c r="E201" s="172"/>
      <c r="F201" s="37" t="s">
        <v>47</v>
      </c>
      <c r="G201" s="37">
        <v>2</v>
      </c>
      <c r="H201" s="37" t="str">
        <f>IFERROR(IF(F201="실링",G201/2000,IF(F201="골드",INT(G201*(1-0.01*IF(Q201="배틀아이템",검색!$I$22,IF(Q201="요리",검색!$J$22,IF(Q201="특수",검색!$K$22,IF(Q201="생활도구",검색!$L$22,"")))))),VLOOKUP(F201,'거래소 최저가'!A:B,2,FALSE)*G201/VLOOKUP(F201,'거래소 최저가'!A:D,4,FALSE))),"")</f>
        <v/>
      </c>
      <c r="I201" s="155"/>
      <c r="J201" s="155"/>
      <c r="K201" s="155"/>
      <c r="L201" s="155"/>
      <c r="M201" s="155"/>
      <c r="N201" s="155"/>
      <c r="O201" s="151"/>
      <c r="P201" s="151"/>
      <c r="Q201" s="67" t="s">
        <v>125</v>
      </c>
    </row>
    <row r="202" spans="1:17" s="30" customFormat="1">
      <c r="A202" s="175"/>
      <c r="B202" s="169"/>
      <c r="C202" s="155"/>
      <c r="D202" s="159"/>
      <c r="E202" s="172"/>
      <c r="F202" s="37" t="s">
        <v>17</v>
      </c>
      <c r="G202" s="37">
        <v>4</v>
      </c>
      <c r="H202" s="37" t="str">
        <f>IFERROR(IF(F202="실링",G202/2000,IF(F202="골드",INT(G202*(1-0.01*IF(Q202="배틀아이템",검색!$I$22,IF(Q202="요리",검색!$J$22,IF(Q202="특수",검색!$K$22,IF(Q202="생활도구",검색!$L$22,"")))))),VLOOKUP(F202,'거래소 최저가'!A:B,2,FALSE)*G202/VLOOKUP(F202,'거래소 최저가'!A:D,4,FALSE))),"")</f>
        <v/>
      </c>
      <c r="I202" s="155"/>
      <c r="J202" s="155"/>
      <c r="K202" s="155"/>
      <c r="L202" s="155"/>
      <c r="M202" s="155"/>
      <c r="N202" s="155"/>
      <c r="O202" s="151"/>
      <c r="P202" s="151"/>
      <c r="Q202" s="67" t="s">
        <v>125</v>
      </c>
    </row>
    <row r="203" spans="1:17" s="40" customFormat="1" ht="17.25" thickBot="1">
      <c r="A203" s="176"/>
      <c r="B203" s="170"/>
      <c r="C203" s="156"/>
      <c r="D203" s="160"/>
      <c r="E203" s="173"/>
      <c r="F203" s="38" t="s">
        <v>18</v>
      </c>
      <c r="G203" s="38">
        <v>30</v>
      </c>
      <c r="H203" s="38">
        <f>IFERROR(IF(F203="실링",G203/2000,IF(F203="골드",INT(G203*(1-0.01*IF(Q203="배틀아이템",검색!$I$22,IF(Q203="요리",검색!$J$22,IF(Q203="특수",검색!$K$22,IF(Q203="생활도구",검색!$L$22,"")))))),VLOOKUP(F203,'거래소 최저가'!A:B,2,FALSE)*G203/VLOOKUP(F203,'거래소 최저가'!A:D,4,FALSE))),"")</f>
        <v>30</v>
      </c>
      <c r="I203" s="156"/>
      <c r="J203" s="156"/>
      <c r="K203" s="156"/>
      <c r="L203" s="156"/>
      <c r="M203" s="156"/>
      <c r="N203" s="156"/>
      <c r="O203" s="152"/>
      <c r="P203" s="152"/>
      <c r="Q203" s="69" t="s">
        <v>125</v>
      </c>
    </row>
    <row r="204" spans="1:17">
      <c r="A204" s="165" t="s">
        <v>97</v>
      </c>
      <c r="B204" s="168" t="str">
        <f t="shared" si="34"/>
        <v>제작</v>
      </c>
      <c r="C204" s="154" t="str">
        <f>IFERROR(VLOOKUP(A204,'거래소 최저가'!F:G,2,FALSE),"")</f>
        <v/>
      </c>
      <c r="D204" s="161" t="str">
        <f t="shared" si="37"/>
        <v/>
      </c>
      <c r="E204" s="171">
        <f t="shared" si="32"/>
        <v>5</v>
      </c>
      <c r="F204" s="36" t="s">
        <v>0</v>
      </c>
      <c r="G204" s="36">
        <v>144</v>
      </c>
      <c r="H204" s="36" t="str">
        <f>IFERROR(IF(F204="실링",G204/2000,IF(F204="골드",INT(G204*(1-0.01*IF(Q204="배틀아이템",검색!$I$22,IF(Q204="요리",검색!$J$22,IF(Q204="특수",검색!$K$22,IF(Q204="생활도구",검색!$L$22,"")))))),VLOOKUP(F204,'거래소 최저가'!A:B,2,FALSE)*G204/VLOOKUP(F204,'거래소 최저가'!A:D,4,FALSE))),"")</f>
        <v/>
      </c>
      <c r="I204" s="154">
        <f>IF(ISBLANK(A204),"",SUM(H204:H$207)-SUM(I205:I$207))</f>
        <v>15</v>
      </c>
      <c r="J204" s="154">
        <v>216</v>
      </c>
      <c r="K204" s="154">
        <f>IF(J204=1,1,INT(J204*(1-IF(Q204="배틀아이템",검색!$I$23,IF(Q204="요리",검색!$J$23,IF(Q204="특수",검색!$K$23,IF(Q204="생활도구",검색!$L$23))))*0.01)))</f>
        <v>216</v>
      </c>
      <c r="L204" s="154">
        <v>3</v>
      </c>
      <c r="M204" s="154">
        <f>L204*(1+0.01*IF(Q204="배틀아이템",검색!$I$21,IF(Q204="요리",검색!$J$21,IF(Q204="특수",검색!$K$21,IF(Q204="생활도구",검색!$L$21)))))</f>
        <v>3</v>
      </c>
      <c r="N204" s="154" t="str">
        <f t="shared" si="38"/>
        <v/>
      </c>
      <c r="O204" s="150" t="e">
        <f t="shared" si="35"/>
        <v>#VALUE!</v>
      </c>
      <c r="P204" s="150" t="e">
        <f t="shared" si="39"/>
        <v>#VALUE!</v>
      </c>
      <c r="Q204" s="66" t="s">
        <v>125</v>
      </c>
    </row>
    <row r="205" spans="1:17">
      <c r="A205" s="175"/>
      <c r="B205" s="169"/>
      <c r="C205" s="155"/>
      <c r="D205" s="159"/>
      <c r="E205" s="172"/>
      <c r="F205" s="37" t="s">
        <v>1</v>
      </c>
      <c r="G205" s="37">
        <v>16</v>
      </c>
      <c r="H205" s="37" t="str">
        <f>IFERROR(IF(F205="실링",G205/2000,IF(F205="골드",INT(G205*(1-0.01*IF(Q205="배틀아이템",검색!$I$22,IF(Q205="요리",검색!$J$22,IF(Q205="특수",검색!$K$22,IF(Q205="생활도구",검색!$L$22,"")))))),VLOOKUP(F205,'거래소 최저가'!A:B,2,FALSE)*G205/VLOOKUP(F205,'거래소 최저가'!A:D,4,FALSE))),"")</f>
        <v/>
      </c>
      <c r="I205" s="155"/>
      <c r="J205" s="155"/>
      <c r="K205" s="155"/>
      <c r="L205" s="155"/>
      <c r="M205" s="155"/>
      <c r="N205" s="155"/>
      <c r="O205" s="151"/>
      <c r="P205" s="151"/>
      <c r="Q205" s="67" t="s">
        <v>125</v>
      </c>
    </row>
    <row r="206" spans="1:17">
      <c r="A206" s="175"/>
      <c r="B206" s="169"/>
      <c r="C206" s="155"/>
      <c r="D206" s="159"/>
      <c r="E206" s="172"/>
      <c r="F206" s="37" t="s">
        <v>17</v>
      </c>
      <c r="G206" s="37">
        <v>18</v>
      </c>
      <c r="H206" s="37" t="str">
        <f>IFERROR(IF(F206="실링",G206/2000,IF(F206="골드",INT(G206*(1-0.01*IF(Q206="배틀아이템",검색!$I$22,IF(Q206="요리",검색!$J$22,IF(Q206="특수",검색!$K$22,IF(Q206="생활도구",검색!$L$22,"")))))),VLOOKUP(F206,'거래소 최저가'!A:B,2,FALSE)*G206/VLOOKUP(F206,'거래소 최저가'!A:D,4,FALSE))),"")</f>
        <v/>
      </c>
      <c r="I206" s="155"/>
      <c r="J206" s="155"/>
      <c r="K206" s="155"/>
      <c r="L206" s="155"/>
      <c r="M206" s="155"/>
      <c r="N206" s="155"/>
      <c r="O206" s="151"/>
      <c r="P206" s="151"/>
      <c r="Q206" s="67" t="s">
        <v>125</v>
      </c>
    </row>
    <row r="207" spans="1:17" ht="17.25" thickBot="1">
      <c r="A207" s="176"/>
      <c r="B207" s="170"/>
      <c r="C207" s="156"/>
      <c r="D207" s="160"/>
      <c r="E207" s="173"/>
      <c r="F207" s="38" t="s">
        <v>18</v>
      </c>
      <c r="G207" s="38">
        <v>15</v>
      </c>
      <c r="H207" s="38">
        <f>IFERROR(IF(F207="실링",G207/2000,IF(F207="골드",INT(G207*(1-0.01*IF(Q207="배틀아이템",검색!$I$22,IF(Q207="요리",검색!$J$22,IF(Q207="특수",검색!$K$22,IF(Q207="생활도구",검색!$L$22,"")))))),VLOOKUP(F207,'거래소 최저가'!A:B,2,FALSE)*G207/VLOOKUP(F207,'거래소 최저가'!A:D,4,FALSE))),"")</f>
        <v>15</v>
      </c>
      <c r="I207" s="156"/>
      <c r="J207" s="156"/>
      <c r="K207" s="156"/>
      <c r="L207" s="156"/>
      <c r="M207" s="156"/>
      <c r="N207" s="156"/>
      <c r="O207" s="152"/>
      <c r="P207" s="152"/>
      <c r="Q207" s="69" t="s">
        <v>125</v>
      </c>
    </row>
    <row r="208" spans="1:17">
      <c r="A208" s="165" t="s">
        <v>98</v>
      </c>
      <c r="B208" s="168" t="str">
        <f t="shared" si="34"/>
        <v>구매</v>
      </c>
      <c r="C208" s="154" t="str">
        <f>IFERROR(VLOOKUP(A208,'거래소 최저가'!F:G,2,FALSE),"")</f>
        <v/>
      </c>
      <c r="D208" s="161" t="str">
        <f t="shared" si="37"/>
        <v/>
      </c>
      <c r="E208" s="171" t="str">
        <f t="shared" si="32"/>
        <v/>
      </c>
      <c r="F208" s="36" t="s">
        <v>101</v>
      </c>
      <c r="G208" s="36">
        <v>3</v>
      </c>
      <c r="H208" s="36">
        <f>VLOOKUP("정령의 회복약",A:E,5,FALSE)*3</f>
        <v>30</v>
      </c>
      <c r="I208" s="154" t="e">
        <f t="shared" ref="I208:I269" si="40">IF(ISBLANK(A208),"",SUM(H208:H1208)-SUM(I209:I1209))</f>
        <v>#VALUE!</v>
      </c>
      <c r="J208" s="154">
        <v>360</v>
      </c>
      <c r="K208" s="154">
        <f>IF(J208=1,1,INT(J208*(1-IF(Q208="배틀아이템",검색!$I$23,IF(Q208="요리",검색!$J$23,IF(Q208="특수",검색!$K$23,IF(Q208="생활도구",검색!$L$23))))*0.01)))</f>
        <v>360</v>
      </c>
      <c r="L208" s="154">
        <v>2</v>
      </c>
      <c r="M208" s="154">
        <f>L208*(1+0.01*IF(Q208="배틀아이템",검색!$I$21,IF(Q208="요리",검색!$J$21,IF(Q208="특수",검색!$K$21,IF(Q208="생활도구",검색!$L$21)))))</f>
        <v>2</v>
      </c>
      <c r="N208" s="154" t="str">
        <f t="shared" si="38"/>
        <v/>
      </c>
      <c r="O208" s="150" t="e">
        <f t="shared" si="35"/>
        <v>#VALUE!</v>
      </c>
      <c r="P208" s="150" t="e">
        <f t="shared" si="39"/>
        <v>#VALUE!</v>
      </c>
      <c r="Q208" s="66" t="s">
        <v>125</v>
      </c>
    </row>
    <row r="209" spans="1:17">
      <c r="A209" s="175"/>
      <c r="B209" s="169"/>
      <c r="C209" s="155"/>
      <c r="D209" s="159"/>
      <c r="E209" s="172"/>
      <c r="F209" s="37" t="s">
        <v>17</v>
      </c>
      <c r="G209" s="37">
        <v>8</v>
      </c>
      <c r="H209" s="83" t="str">
        <f>IFERROR(IF(F209="실링",G209/2000,IF(F209="골드",INT(G209*(1-0.01*IF(Q209="배틀아이템",검색!$I$22,IF(Q209="요리",검색!$J$22,IF(Q209="특수",검색!$K$22,IF(Q209="생활도구",검색!$L$22,"")))))),VLOOKUP(F209,'거래소 최저가'!A:B,2,FALSE)*G209/VLOOKUP(F209,'거래소 최저가'!A:D,4,FALSE))),"")</f>
        <v/>
      </c>
      <c r="I209" s="155"/>
      <c r="J209" s="155"/>
      <c r="K209" s="155"/>
      <c r="L209" s="155"/>
      <c r="M209" s="155"/>
      <c r="N209" s="155"/>
      <c r="O209" s="151"/>
      <c r="P209" s="151"/>
      <c r="Q209" s="67" t="s">
        <v>125</v>
      </c>
    </row>
    <row r="210" spans="1:17" ht="17.25" thickBot="1">
      <c r="A210" s="176"/>
      <c r="B210" s="170"/>
      <c r="C210" s="156"/>
      <c r="D210" s="159"/>
      <c r="E210" s="173"/>
      <c r="F210" s="38" t="s">
        <v>18</v>
      </c>
      <c r="G210" s="38">
        <v>30</v>
      </c>
      <c r="H210" s="83">
        <f>IFERROR(IF(F210="실링",G210/2000,IF(F210="골드",INT(G210*(1-0.01*IF(Q210="배틀아이템",검색!$I$22,IF(Q210="요리",검색!$J$22,IF(Q210="특수",검색!$K$22,IF(Q210="생활도구",검색!$L$22,"")))))),VLOOKUP(F210,'거래소 최저가'!A:B,2,FALSE)*G210/VLOOKUP(F210,'거래소 최저가'!A:D,4,FALSE))),"")</f>
        <v>30</v>
      </c>
      <c r="I210" s="156"/>
      <c r="J210" s="156"/>
      <c r="K210" s="156"/>
      <c r="L210" s="156"/>
      <c r="M210" s="156"/>
      <c r="N210" s="156"/>
      <c r="O210" s="152"/>
      <c r="P210" s="152"/>
      <c r="Q210" s="69" t="s">
        <v>125</v>
      </c>
    </row>
    <row r="211" spans="1:17">
      <c r="A211" s="165" t="s">
        <v>99</v>
      </c>
      <c r="B211" s="168" t="str">
        <f t="shared" si="34"/>
        <v>구매</v>
      </c>
      <c r="C211" s="154" t="str">
        <f>IFERROR(VLOOKUP(A211,'거래소 최저가'!F:G,2,FALSE),"")</f>
        <v/>
      </c>
      <c r="D211" s="154" t="str">
        <f t="shared" si="37"/>
        <v/>
      </c>
      <c r="E211" s="171" t="str">
        <f t="shared" ref="E211:E229" si="41">IFERROR(IF(ISBLANK(A211),"",I211/L211),"")</f>
        <v/>
      </c>
      <c r="F211" s="80" t="s">
        <v>100</v>
      </c>
      <c r="G211" s="80">
        <v>3</v>
      </c>
      <c r="H211" s="80" t="e">
        <f>VLOOKUP("정령의 회복약",A:C,3,FALSE)*3</f>
        <v>#VALUE!</v>
      </c>
      <c r="I211" s="154" t="e">
        <f t="shared" si="40"/>
        <v>#VALUE!</v>
      </c>
      <c r="J211" s="154">
        <v>360</v>
      </c>
      <c r="K211" s="154">
        <f>IF(J211=1,1,INT(J211*(1-IF(Q211="배틀아이템",검색!$I$23,IF(Q211="요리",검색!$J$23,IF(Q211="특수",검색!$K$23,IF(Q211="생활도구",검색!$L$23))))*0.01)))</f>
        <v>360</v>
      </c>
      <c r="L211" s="154">
        <v>2</v>
      </c>
      <c r="M211" s="154">
        <f>L211*(1+0.01*IF(Q211="배틀아이템",검색!$I$21,IF(Q211="요리",검색!$J$21,IF(Q211="특수",검색!$K$21,IF(Q211="생활도구",검색!$L$21)))))</f>
        <v>2</v>
      </c>
      <c r="N211" s="154" t="str">
        <f t="shared" si="38"/>
        <v/>
      </c>
      <c r="O211" s="150" t="e">
        <f t="shared" si="35"/>
        <v>#VALUE!</v>
      </c>
      <c r="P211" s="186" t="e">
        <f t="shared" si="39"/>
        <v>#VALUE!</v>
      </c>
      <c r="Q211" s="72" t="s">
        <v>125</v>
      </c>
    </row>
    <row r="212" spans="1:17">
      <c r="A212" s="175"/>
      <c r="B212" s="169"/>
      <c r="C212" s="155"/>
      <c r="D212" s="155"/>
      <c r="E212" s="172"/>
      <c r="F212" s="81" t="s">
        <v>17</v>
      </c>
      <c r="G212" s="81">
        <v>8</v>
      </c>
      <c r="H212" s="81" t="str">
        <f>IFERROR(IF(F212="실링",G212/2000,IF(F212="골드",INT(G212*(1-0.01*IF(Q212="배틀아이템",검색!$I$22,IF(Q212="요리",검색!$J$22,IF(Q212="특수",검색!$K$22,IF(Q212="생활도구",검색!$L$22,"")))))),VLOOKUP(F212,'거래소 최저가'!A:B,2,FALSE)*G212/VLOOKUP(F212,'거래소 최저가'!A:D,4,FALSE))),"")</f>
        <v/>
      </c>
      <c r="I212" s="155"/>
      <c r="J212" s="155"/>
      <c r="K212" s="155"/>
      <c r="L212" s="155"/>
      <c r="M212" s="155"/>
      <c r="N212" s="155"/>
      <c r="O212" s="151"/>
      <c r="P212" s="187"/>
      <c r="Q212" s="73" t="s">
        <v>125</v>
      </c>
    </row>
    <row r="213" spans="1:17" ht="17.25" thickBot="1">
      <c r="A213" s="180"/>
      <c r="B213" s="181"/>
      <c r="C213" s="157"/>
      <c r="D213" s="157"/>
      <c r="E213" s="179"/>
      <c r="F213" s="82" t="s">
        <v>18</v>
      </c>
      <c r="G213" s="82">
        <v>30</v>
      </c>
      <c r="H213" s="82">
        <f>IFERROR(IF(F213="실링",G213/2000,IF(F213="골드",INT(G213*(1-0.01*IF(Q213="배틀아이템",검색!$I$22,IF(Q213="요리",검색!$J$22,IF(Q213="특수",검색!$K$22,IF(Q213="생활도구",검색!$L$22,"")))))),VLOOKUP(F213,'거래소 최저가'!A:B,2,FALSE)*G213/VLOOKUP(F213,'거래소 최저가'!A:D,4,FALSE))),"")</f>
        <v>30</v>
      </c>
      <c r="I213" s="157"/>
      <c r="J213" s="157"/>
      <c r="K213" s="157"/>
      <c r="L213" s="157"/>
      <c r="M213" s="157"/>
      <c r="N213" s="157"/>
      <c r="O213" s="153"/>
      <c r="P213" s="188"/>
      <c r="Q213" s="75" t="s">
        <v>125</v>
      </c>
    </row>
    <row r="214" spans="1:17">
      <c r="B214" s="4" t="str">
        <f t="shared" si="34"/>
        <v/>
      </c>
      <c r="C214" s="1" t="str">
        <f>IFERROR(VLOOKUP(A214,'거래소 최저가'!F:G,2,FALSE),"")</f>
        <v/>
      </c>
      <c r="E214" s="8" t="str">
        <f t="shared" si="41"/>
        <v/>
      </c>
      <c r="H214" s="2" t="str">
        <f>IFERROR(IF(F214="골드",INT(G214*검색!$A$17),VLOOKUP(F214,'거래소 최저가'!A:B,2,FALSE)*G214/VLOOKUP(F214,'거래소 최저가'!A:D,4,FALSE)),"")</f>
        <v/>
      </c>
      <c r="I214" s="2" t="str">
        <f t="shared" si="40"/>
        <v/>
      </c>
      <c r="N214" s="1" t="str">
        <f t="shared" ref="N214:N269" si="42">IF(ISBLANK(A214),"",E214/C214)</f>
        <v/>
      </c>
    </row>
    <row r="215" spans="1:17">
      <c r="B215" s="4" t="str">
        <f t="shared" si="34"/>
        <v/>
      </c>
      <c r="C215" s="1" t="str">
        <f>IFERROR(VLOOKUP(A215,'거래소 최저가'!F:G,2,FALSE),"")</f>
        <v/>
      </c>
      <c r="E215" s="8" t="str">
        <f t="shared" si="41"/>
        <v/>
      </c>
      <c r="H215" s="2" t="str">
        <f>IFERROR(IF(F215="골드",INT(G215*검색!$A$17),VLOOKUP(F215,'거래소 최저가'!A:B,2,FALSE)*G215/VLOOKUP(F215,'거래소 최저가'!A:D,4,FALSE)),"")</f>
        <v/>
      </c>
      <c r="I215" s="2" t="str">
        <f t="shared" si="40"/>
        <v/>
      </c>
      <c r="N215" s="1" t="str">
        <f t="shared" si="42"/>
        <v/>
      </c>
    </row>
    <row r="216" spans="1:17">
      <c r="B216" s="4" t="str">
        <f t="shared" si="34"/>
        <v/>
      </c>
      <c r="C216" s="1" t="str">
        <f>IFERROR(VLOOKUP(A216,'거래소 최저가'!F:G,2,FALSE),"")</f>
        <v/>
      </c>
      <c r="E216" s="8" t="str">
        <f t="shared" si="41"/>
        <v/>
      </c>
      <c r="H216" s="2" t="str">
        <f>IFERROR(IF(F216="골드",INT(G216*검색!$A$17),VLOOKUP(F216,'거래소 최저가'!A:B,2,FALSE)*G216/VLOOKUP(F216,'거래소 최저가'!A:D,4,FALSE)),"")</f>
        <v/>
      </c>
      <c r="I216" s="2" t="str">
        <f t="shared" si="40"/>
        <v/>
      </c>
      <c r="N216" s="1" t="str">
        <f t="shared" si="42"/>
        <v/>
      </c>
    </row>
    <row r="217" spans="1:17">
      <c r="B217" s="4" t="str">
        <f t="shared" si="34"/>
        <v/>
      </c>
      <c r="C217" s="1" t="str">
        <f>IFERROR(VLOOKUP(A217,'거래소 최저가'!F:G,2,FALSE),"")</f>
        <v/>
      </c>
      <c r="E217" s="8" t="str">
        <f t="shared" si="41"/>
        <v/>
      </c>
      <c r="H217" s="2" t="str">
        <f>IFERROR(IF(F217="골드",INT(G217*검색!$A$17),VLOOKUP(F217,'거래소 최저가'!A:B,2,FALSE)*G217/VLOOKUP(F217,'거래소 최저가'!A:D,4,FALSE)),"")</f>
        <v/>
      </c>
      <c r="I217" s="2" t="str">
        <f t="shared" si="40"/>
        <v/>
      </c>
      <c r="N217" s="1" t="str">
        <f t="shared" si="42"/>
        <v/>
      </c>
    </row>
    <row r="218" spans="1:17">
      <c r="B218" s="4" t="str">
        <f t="shared" si="34"/>
        <v/>
      </c>
      <c r="C218" s="1" t="str">
        <f>IFERROR(VLOOKUP(A218,'거래소 최저가'!F:G,2,FALSE),"")</f>
        <v/>
      </c>
      <c r="E218" s="8" t="str">
        <f t="shared" si="41"/>
        <v/>
      </c>
      <c r="H218" s="2" t="str">
        <f>IFERROR(IF(F218="골드",INT(G218*검색!$A$17),VLOOKUP(F218,'거래소 최저가'!A:B,2,FALSE)*G218/VLOOKUP(F218,'거래소 최저가'!A:D,4,FALSE)),"")</f>
        <v/>
      </c>
      <c r="I218" s="2" t="str">
        <f t="shared" si="40"/>
        <v/>
      </c>
      <c r="N218" s="1" t="str">
        <f t="shared" si="42"/>
        <v/>
      </c>
    </row>
    <row r="219" spans="1:17">
      <c r="B219" s="4" t="str">
        <f t="shared" ref="B219:B244" si="43">IFERROR(IF(ISBLANK(A219),"",IF(C219&gt;E219,"제작","구매")),"")</f>
        <v/>
      </c>
      <c r="C219" s="1" t="str">
        <f>IFERROR(VLOOKUP(A219,'거래소 최저가'!F:G,2,FALSE),"")</f>
        <v/>
      </c>
      <c r="E219" s="8" t="str">
        <f t="shared" si="41"/>
        <v/>
      </c>
      <c r="H219" s="2" t="str">
        <f>IFERROR(IF(F219="골드",INT(G219*검색!$A$17),VLOOKUP(F219,'거래소 최저가'!A:B,2,FALSE)*G219/VLOOKUP(F219,'거래소 최저가'!A:D,4,FALSE)),"")</f>
        <v/>
      </c>
      <c r="I219" s="2" t="str">
        <f t="shared" si="40"/>
        <v/>
      </c>
      <c r="N219" s="1" t="str">
        <f t="shared" si="42"/>
        <v/>
      </c>
    </row>
    <row r="220" spans="1:17">
      <c r="B220" s="4" t="str">
        <f t="shared" si="43"/>
        <v/>
      </c>
      <c r="C220" s="1" t="str">
        <f>IFERROR(VLOOKUP(A220,'거래소 최저가'!F:G,2,FALSE),"")</f>
        <v/>
      </c>
      <c r="E220" s="8" t="str">
        <f t="shared" si="41"/>
        <v/>
      </c>
      <c r="H220" s="2" t="str">
        <f>IFERROR(IF(F220="골드",INT(G220*검색!$A$17),VLOOKUP(F220,'거래소 최저가'!A:B,2,FALSE)*G220/VLOOKUP(F220,'거래소 최저가'!A:D,4,FALSE)),"")</f>
        <v/>
      </c>
      <c r="I220" s="2" t="str">
        <f t="shared" si="40"/>
        <v/>
      </c>
      <c r="N220" s="1" t="str">
        <f t="shared" si="42"/>
        <v/>
      </c>
    </row>
    <row r="221" spans="1:17">
      <c r="B221" s="4" t="str">
        <f t="shared" si="43"/>
        <v/>
      </c>
      <c r="C221" s="1" t="str">
        <f>IFERROR(VLOOKUP(A221,'거래소 최저가'!F:G,2,FALSE),"")</f>
        <v/>
      </c>
      <c r="E221" s="8" t="str">
        <f t="shared" si="41"/>
        <v/>
      </c>
      <c r="H221" s="2" t="str">
        <f>IFERROR(IF(F221="골드",INT(G221*검색!$A$17),VLOOKUP(F221,'거래소 최저가'!A:B,2,FALSE)*G221/VLOOKUP(F221,'거래소 최저가'!A:D,4,FALSE)),"")</f>
        <v/>
      </c>
      <c r="I221" s="2" t="str">
        <f t="shared" si="40"/>
        <v/>
      </c>
      <c r="N221" s="1" t="str">
        <f t="shared" si="42"/>
        <v/>
      </c>
    </row>
    <row r="222" spans="1:17">
      <c r="B222" s="4" t="str">
        <f t="shared" si="43"/>
        <v/>
      </c>
      <c r="C222" s="1" t="str">
        <f>IFERROR(VLOOKUP(A222,'거래소 최저가'!F:G,2,FALSE),"")</f>
        <v/>
      </c>
      <c r="E222" s="8" t="str">
        <f t="shared" si="41"/>
        <v/>
      </c>
      <c r="H222" s="2" t="str">
        <f>IFERROR(IF(F222="골드",INT(G222*검색!$A$17),VLOOKUP(F222,'거래소 최저가'!A:B,2,FALSE)*G222/VLOOKUP(F222,'거래소 최저가'!A:D,4,FALSE)),"")</f>
        <v/>
      </c>
      <c r="I222" s="2" t="str">
        <f t="shared" si="40"/>
        <v/>
      </c>
      <c r="N222" s="1" t="str">
        <f t="shared" si="42"/>
        <v/>
      </c>
    </row>
    <row r="223" spans="1:17">
      <c r="B223" s="4" t="str">
        <f t="shared" si="43"/>
        <v/>
      </c>
      <c r="C223" s="1" t="str">
        <f>IFERROR(VLOOKUP(A223,'거래소 최저가'!F:G,2,FALSE),"")</f>
        <v/>
      </c>
      <c r="E223" s="8" t="str">
        <f t="shared" si="41"/>
        <v/>
      </c>
      <c r="H223" s="2" t="str">
        <f>IFERROR(IF(F223="골드",INT(G223*검색!$A$17),VLOOKUP(F223,'거래소 최저가'!A:B,2,FALSE)*G223/VLOOKUP(F223,'거래소 최저가'!A:D,4,FALSE)),"")</f>
        <v/>
      </c>
      <c r="I223" s="2" t="str">
        <f t="shared" si="40"/>
        <v/>
      </c>
      <c r="N223" s="1" t="str">
        <f t="shared" si="42"/>
        <v/>
      </c>
    </row>
    <row r="224" spans="1:17">
      <c r="B224" s="4" t="str">
        <f t="shared" si="43"/>
        <v/>
      </c>
      <c r="C224" s="1" t="str">
        <f>IFERROR(VLOOKUP(A224,'거래소 최저가'!F:G,2,FALSE),"")</f>
        <v/>
      </c>
      <c r="E224" s="8" t="str">
        <f t="shared" si="41"/>
        <v/>
      </c>
      <c r="H224" s="2" t="str">
        <f>IFERROR(IF(F224="골드",INT(G224*검색!$A$17),VLOOKUP(F224,'거래소 최저가'!A:B,2,FALSE)*G224/VLOOKUP(F224,'거래소 최저가'!A:D,4,FALSE)),"")</f>
        <v/>
      </c>
      <c r="I224" s="2" t="str">
        <f t="shared" si="40"/>
        <v/>
      </c>
      <c r="N224" s="1" t="str">
        <f t="shared" si="42"/>
        <v/>
      </c>
    </row>
    <row r="225" spans="2:14">
      <c r="B225" s="4" t="str">
        <f t="shared" si="43"/>
        <v/>
      </c>
      <c r="C225" s="1" t="str">
        <f>IFERROR(VLOOKUP(A225,'거래소 최저가'!F:G,2,FALSE),"")</f>
        <v/>
      </c>
      <c r="E225" s="8" t="str">
        <f t="shared" si="41"/>
        <v/>
      </c>
      <c r="H225" s="2" t="str">
        <f>IFERROR(IF(F225="골드",INT(G225*검색!$A$17),VLOOKUP(F225,'거래소 최저가'!A:B,2,FALSE)*G225/VLOOKUP(F225,'거래소 최저가'!A:D,4,FALSE)),"")</f>
        <v/>
      </c>
      <c r="I225" s="2" t="str">
        <f t="shared" si="40"/>
        <v/>
      </c>
      <c r="N225" s="1" t="str">
        <f t="shared" si="42"/>
        <v/>
      </c>
    </row>
    <row r="226" spans="2:14">
      <c r="B226" s="4" t="str">
        <f t="shared" si="43"/>
        <v/>
      </c>
      <c r="C226" s="1" t="str">
        <f>IFERROR(VLOOKUP(A226,'거래소 최저가'!F:G,2,FALSE),"")</f>
        <v/>
      </c>
      <c r="E226" s="8" t="str">
        <f t="shared" si="41"/>
        <v/>
      </c>
      <c r="H226" s="2" t="str">
        <f>IFERROR(IF(F226="골드",INT(G226*검색!$A$17),VLOOKUP(F226,'거래소 최저가'!A:B,2,FALSE)*G226/VLOOKUP(F226,'거래소 최저가'!A:D,4,FALSE)),"")</f>
        <v/>
      </c>
      <c r="I226" s="2" t="str">
        <f t="shared" si="40"/>
        <v/>
      </c>
      <c r="N226" s="1" t="str">
        <f t="shared" si="42"/>
        <v/>
      </c>
    </row>
    <row r="227" spans="2:14">
      <c r="B227" s="4" t="str">
        <f t="shared" si="43"/>
        <v/>
      </c>
      <c r="C227" s="1" t="str">
        <f>IFERROR(VLOOKUP(A227,'거래소 최저가'!F:G,2,FALSE),"")</f>
        <v/>
      </c>
      <c r="E227" s="8" t="str">
        <f t="shared" si="41"/>
        <v/>
      </c>
      <c r="H227" s="2" t="str">
        <f>IFERROR(IF(F227="골드",INT(G227*검색!$A$17),VLOOKUP(F227,'거래소 최저가'!A:B,2,FALSE)*G227/VLOOKUP(F227,'거래소 최저가'!A:D,4,FALSE)),"")</f>
        <v/>
      </c>
      <c r="I227" s="2" t="str">
        <f t="shared" si="40"/>
        <v/>
      </c>
      <c r="N227" s="1" t="str">
        <f t="shared" si="42"/>
        <v/>
      </c>
    </row>
    <row r="228" spans="2:14">
      <c r="B228" s="4" t="str">
        <f t="shared" si="43"/>
        <v/>
      </c>
      <c r="C228" s="1" t="str">
        <f>IFERROR(VLOOKUP(A228,'거래소 최저가'!F:G,2,FALSE),"")</f>
        <v/>
      </c>
      <c r="E228" s="8" t="str">
        <f t="shared" si="41"/>
        <v/>
      </c>
      <c r="H228" s="2" t="str">
        <f>IFERROR(IF(F228="골드",INT(G228*검색!$A$17),VLOOKUP(F228,'거래소 최저가'!A:B,2,FALSE)*G228/VLOOKUP(F228,'거래소 최저가'!A:D,4,FALSE)),"")</f>
        <v/>
      </c>
      <c r="I228" s="2" t="str">
        <f t="shared" si="40"/>
        <v/>
      </c>
      <c r="N228" s="1" t="str">
        <f t="shared" si="42"/>
        <v/>
      </c>
    </row>
    <row r="229" spans="2:14">
      <c r="B229" s="4" t="str">
        <f t="shared" si="43"/>
        <v/>
      </c>
      <c r="C229" s="1" t="str">
        <f>IFERROR(VLOOKUP(A229,'거래소 최저가'!F:G,2,FALSE),"")</f>
        <v/>
      </c>
      <c r="E229" s="8" t="str">
        <f t="shared" si="41"/>
        <v/>
      </c>
      <c r="H229" s="2" t="str">
        <f>IFERROR(IF(F229="골드",INT(G229*검색!$A$17),VLOOKUP(F229,'거래소 최저가'!A:B,2,FALSE)*G229/VLOOKUP(F229,'거래소 최저가'!A:D,4,FALSE)),"")</f>
        <v/>
      </c>
      <c r="I229" s="2" t="str">
        <f t="shared" si="40"/>
        <v/>
      </c>
      <c r="N229" s="1" t="str">
        <f t="shared" si="42"/>
        <v/>
      </c>
    </row>
    <row r="230" spans="2:14">
      <c r="B230" s="4" t="str">
        <f t="shared" si="43"/>
        <v/>
      </c>
      <c r="C230" s="1" t="str">
        <f>IFERROR(VLOOKUP(A230,'거래소 최저가'!F:G,2,FALSE),"")</f>
        <v/>
      </c>
      <c r="H230" s="2" t="str">
        <f>IFERROR(IF(F230="골드",INT(G230*검색!$A$17),VLOOKUP(F230,'거래소 최저가'!A:B,2,FALSE)*G230/VLOOKUP(F230,'거래소 최저가'!A:D,4,FALSE)),"")</f>
        <v/>
      </c>
      <c r="I230" s="2" t="str">
        <f t="shared" si="40"/>
        <v/>
      </c>
      <c r="N230" s="1" t="str">
        <f t="shared" si="42"/>
        <v/>
      </c>
    </row>
    <row r="231" spans="2:14">
      <c r="B231" s="4" t="str">
        <f t="shared" si="43"/>
        <v/>
      </c>
      <c r="C231" s="1" t="str">
        <f>IFERROR(VLOOKUP(A231,'거래소 최저가'!F:G,2,FALSE),"")</f>
        <v/>
      </c>
      <c r="H231" s="2" t="str">
        <f>IFERROR(IF(F231="골드",INT(G231*검색!$A$17),VLOOKUP(F231,'거래소 최저가'!A:B,2,FALSE)*G231/VLOOKUP(F231,'거래소 최저가'!A:D,4,FALSE)),"")</f>
        <v/>
      </c>
      <c r="I231" s="2" t="str">
        <f t="shared" si="40"/>
        <v/>
      </c>
      <c r="N231" s="1" t="str">
        <f t="shared" si="42"/>
        <v/>
      </c>
    </row>
    <row r="232" spans="2:14">
      <c r="B232" s="4" t="str">
        <f t="shared" si="43"/>
        <v/>
      </c>
      <c r="C232" s="1" t="str">
        <f>IFERROR(VLOOKUP(A232,'거래소 최저가'!F:G,2,FALSE),"")</f>
        <v/>
      </c>
      <c r="H232" s="2" t="str">
        <f>IFERROR(IF(F232="골드",INT(G232*검색!$A$17),VLOOKUP(F232,'거래소 최저가'!A:B,2,FALSE)*G232/VLOOKUP(F232,'거래소 최저가'!A:D,4,FALSE)),"")</f>
        <v/>
      </c>
      <c r="I232" s="2" t="str">
        <f t="shared" si="40"/>
        <v/>
      </c>
      <c r="N232" s="1" t="str">
        <f t="shared" si="42"/>
        <v/>
      </c>
    </row>
    <row r="233" spans="2:14">
      <c r="B233" s="4" t="str">
        <f t="shared" si="43"/>
        <v/>
      </c>
      <c r="C233" s="1" t="str">
        <f>IFERROR(VLOOKUP(A233,'거래소 최저가'!F:G,2,FALSE),"")</f>
        <v/>
      </c>
      <c r="H233" s="2" t="str">
        <f>IFERROR(IF(F233="골드",INT(G233*검색!$A$17),VLOOKUP(F233,'거래소 최저가'!A:B,2,FALSE)*G233/VLOOKUP(F233,'거래소 최저가'!A:D,4,FALSE)),"")</f>
        <v/>
      </c>
      <c r="I233" s="2" t="str">
        <f t="shared" si="40"/>
        <v/>
      </c>
      <c r="N233" s="1" t="str">
        <f t="shared" si="42"/>
        <v/>
      </c>
    </row>
    <row r="234" spans="2:14">
      <c r="B234" s="4" t="str">
        <f t="shared" si="43"/>
        <v/>
      </c>
      <c r="C234" s="1" t="str">
        <f>IFERROR(VLOOKUP(A234,'거래소 최저가'!F:G,2,FALSE),"")</f>
        <v/>
      </c>
      <c r="H234" s="2" t="str">
        <f>IFERROR(IF(F234="골드",INT(G234*검색!$A$17),VLOOKUP(F234,'거래소 최저가'!A:B,2,FALSE)*G234/VLOOKUP(F234,'거래소 최저가'!A:D,4,FALSE)),"")</f>
        <v/>
      </c>
      <c r="I234" s="2" t="str">
        <f t="shared" si="40"/>
        <v/>
      </c>
      <c r="N234" s="1" t="str">
        <f t="shared" si="42"/>
        <v/>
      </c>
    </row>
    <row r="235" spans="2:14">
      <c r="B235" s="4" t="str">
        <f t="shared" si="43"/>
        <v/>
      </c>
      <c r="C235" s="1" t="str">
        <f>IFERROR(VLOOKUP(A235,'거래소 최저가'!F:G,2,FALSE),"")</f>
        <v/>
      </c>
      <c r="H235" s="2" t="str">
        <f>IFERROR(IF(F235="골드",INT(G235*검색!$A$17),VLOOKUP(F235,'거래소 최저가'!A:B,2,FALSE)*G235/VLOOKUP(F235,'거래소 최저가'!A:D,4,FALSE)),"")</f>
        <v/>
      </c>
      <c r="I235" s="2" t="str">
        <f t="shared" si="40"/>
        <v/>
      </c>
      <c r="N235" s="1" t="str">
        <f t="shared" si="42"/>
        <v/>
      </c>
    </row>
    <row r="236" spans="2:14">
      <c r="B236" s="4" t="str">
        <f t="shared" si="43"/>
        <v/>
      </c>
      <c r="C236" s="1" t="str">
        <f>IFERROR(VLOOKUP(A236,'거래소 최저가'!F:G,2,FALSE),"")</f>
        <v/>
      </c>
      <c r="H236" s="2" t="str">
        <f>IFERROR(IF(F236="골드",INT(G236*검색!$A$17),VLOOKUP(F236,'거래소 최저가'!A:B,2,FALSE)*G236/VLOOKUP(F236,'거래소 최저가'!A:D,4,FALSE)),"")</f>
        <v/>
      </c>
      <c r="I236" s="2" t="str">
        <f t="shared" si="40"/>
        <v/>
      </c>
      <c r="N236" s="1" t="str">
        <f t="shared" si="42"/>
        <v/>
      </c>
    </row>
    <row r="237" spans="2:14">
      <c r="B237" s="4" t="str">
        <f t="shared" si="43"/>
        <v/>
      </c>
      <c r="C237" s="1" t="str">
        <f>IFERROR(VLOOKUP(A237,'거래소 최저가'!F:G,2,FALSE),"")</f>
        <v/>
      </c>
      <c r="H237" s="2" t="str">
        <f>IFERROR(IF(F237="골드",INT(G237*검색!$A$17),VLOOKUP(F237,'거래소 최저가'!A:B,2,FALSE)*G237/VLOOKUP(F237,'거래소 최저가'!A:D,4,FALSE)),"")</f>
        <v/>
      </c>
      <c r="I237" s="2" t="str">
        <f t="shared" si="40"/>
        <v/>
      </c>
      <c r="N237" s="1" t="str">
        <f t="shared" si="42"/>
        <v/>
      </c>
    </row>
    <row r="238" spans="2:14">
      <c r="B238" s="4" t="str">
        <f t="shared" si="43"/>
        <v/>
      </c>
      <c r="C238" s="1" t="str">
        <f>IFERROR(VLOOKUP(A238,'거래소 최저가'!F:G,2,FALSE),"")</f>
        <v/>
      </c>
      <c r="H238" s="2" t="str">
        <f>IFERROR(IF(F238="골드",INT(G238*검색!$A$17),VLOOKUP(F238,'거래소 최저가'!A:B,2,FALSE)*G238/VLOOKUP(F238,'거래소 최저가'!A:D,4,FALSE)),"")</f>
        <v/>
      </c>
      <c r="I238" s="2" t="str">
        <f t="shared" si="40"/>
        <v/>
      </c>
      <c r="N238" s="1" t="str">
        <f t="shared" si="42"/>
        <v/>
      </c>
    </row>
    <row r="239" spans="2:14">
      <c r="B239" s="4" t="str">
        <f t="shared" si="43"/>
        <v/>
      </c>
      <c r="C239" s="1" t="str">
        <f>IFERROR(VLOOKUP(A239,'거래소 최저가'!F:G,2,FALSE),"")</f>
        <v/>
      </c>
      <c r="H239" s="2" t="str">
        <f>IFERROR(IF(F239="골드",INT(G239*검색!$A$17),VLOOKUP(F239,'거래소 최저가'!A:B,2,FALSE)*G239/VLOOKUP(F239,'거래소 최저가'!A:D,4,FALSE)),"")</f>
        <v/>
      </c>
      <c r="I239" s="2" t="str">
        <f t="shared" si="40"/>
        <v/>
      </c>
      <c r="N239" s="1" t="str">
        <f t="shared" si="42"/>
        <v/>
      </c>
    </row>
    <row r="240" spans="2:14">
      <c r="B240" s="4" t="str">
        <f t="shared" si="43"/>
        <v/>
      </c>
      <c r="C240" s="1" t="str">
        <f>IFERROR(VLOOKUP(A240,'거래소 최저가'!F:G,2,FALSE),"")</f>
        <v/>
      </c>
      <c r="H240" s="2" t="str">
        <f>IFERROR(IF(F240="골드",INT(G240*검색!$A$17),VLOOKUP(F240,'거래소 최저가'!A:B,2,FALSE)*G240/VLOOKUP(F240,'거래소 최저가'!A:D,4,FALSE)),"")</f>
        <v/>
      </c>
      <c r="I240" s="2" t="str">
        <f t="shared" si="40"/>
        <v/>
      </c>
      <c r="N240" s="1" t="str">
        <f t="shared" si="42"/>
        <v/>
      </c>
    </row>
    <row r="241" spans="2:14">
      <c r="B241" s="4" t="str">
        <f t="shared" si="43"/>
        <v/>
      </c>
      <c r="C241" s="1" t="str">
        <f>IFERROR(VLOOKUP(A241,'거래소 최저가'!F:G,2,FALSE),"")</f>
        <v/>
      </c>
      <c r="H241" s="2" t="str">
        <f>IFERROR(IF(F241="골드",INT(G241*검색!$A$17),VLOOKUP(F241,'거래소 최저가'!A:B,2,FALSE)*G241/VLOOKUP(F241,'거래소 최저가'!A:D,4,FALSE)),"")</f>
        <v/>
      </c>
      <c r="I241" s="2" t="str">
        <f t="shared" si="40"/>
        <v/>
      </c>
      <c r="N241" s="1" t="str">
        <f t="shared" si="42"/>
        <v/>
      </c>
    </row>
    <row r="242" spans="2:14">
      <c r="B242" s="4" t="str">
        <f t="shared" si="43"/>
        <v/>
      </c>
      <c r="C242" s="1" t="str">
        <f>IFERROR(VLOOKUP(A242,'거래소 최저가'!F:G,2,FALSE),"")</f>
        <v/>
      </c>
      <c r="H242" s="2" t="str">
        <f>IFERROR(IF(F242="골드",INT(G242*검색!$A$17),VLOOKUP(F242,'거래소 최저가'!A:B,2,FALSE)*G242/VLOOKUP(F242,'거래소 최저가'!A:D,4,FALSE)),"")</f>
        <v/>
      </c>
      <c r="I242" s="2" t="str">
        <f t="shared" si="40"/>
        <v/>
      </c>
      <c r="N242" s="1" t="str">
        <f t="shared" si="42"/>
        <v/>
      </c>
    </row>
    <row r="243" spans="2:14">
      <c r="B243" s="4" t="str">
        <f t="shared" si="43"/>
        <v/>
      </c>
      <c r="C243" s="1" t="str">
        <f>IFERROR(VLOOKUP(A243,'거래소 최저가'!F:G,2,FALSE),"")</f>
        <v/>
      </c>
      <c r="H243" s="2" t="str">
        <f>IFERROR(IF(F243="골드",INT(G243*검색!$A$17),VLOOKUP(F243,'거래소 최저가'!A:B,2,FALSE)*G243/VLOOKUP(F243,'거래소 최저가'!A:D,4,FALSE)),"")</f>
        <v/>
      </c>
      <c r="I243" s="2" t="str">
        <f t="shared" si="40"/>
        <v/>
      </c>
      <c r="N243" s="1" t="str">
        <f t="shared" si="42"/>
        <v/>
      </c>
    </row>
    <row r="244" spans="2:14">
      <c r="B244" s="4" t="str">
        <f t="shared" si="43"/>
        <v/>
      </c>
      <c r="C244" s="1" t="str">
        <f>IFERROR(VLOOKUP(A244,'거래소 최저가'!F:G,2,FALSE),"")</f>
        <v/>
      </c>
      <c r="H244" s="2" t="str">
        <f>IFERROR(IF(F244="골드",INT(G244*검색!$A$17),VLOOKUP(F244,'거래소 최저가'!A:B,2,FALSE)*G244/VLOOKUP(F244,'거래소 최저가'!A:D,4,FALSE)),"")</f>
        <v/>
      </c>
      <c r="I244" s="2" t="str">
        <f t="shared" si="40"/>
        <v/>
      </c>
      <c r="N244" s="1" t="str">
        <f t="shared" si="42"/>
        <v/>
      </c>
    </row>
    <row r="245" spans="2:14">
      <c r="C245" s="1" t="str">
        <f>IFERROR(VLOOKUP(A245,'거래소 최저가'!F:G,2,FALSE),"")</f>
        <v/>
      </c>
      <c r="H245" s="2" t="str">
        <f>IFERROR(IF(F245="골드",INT(G245*검색!$A$17),VLOOKUP(F245,'거래소 최저가'!A:B,2,FALSE)*G245/VLOOKUP(F245,'거래소 최저가'!A:D,4,FALSE)),"")</f>
        <v/>
      </c>
      <c r="I245" s="2" t="str">
        <f t="shared" si="40"/>
        <v/>
      </c>
      <c r="N245" s="1" t="str">
        <f t="shared" si="42"/>
        <v/>
      </c>
    </row>
    <row r="246" spans="2:14">
      <c r="H246" s="2" t="str">
        <f>IFERROR(IF(F246="골드",INT(G246*검색!$A$17),VLOOKUP(F246,'거래소 최저가'!A:B,2,FALSE)*G246/VLOOKUP(F246,'거래소 최저가'!A:D,4,FALSE)),"")</f>
        <v/>
      </c>
      <c r="I246" s="2" t="str">
        <f t="shared" si="40"/>
        <v/>
      </c>
      <c r="N246" s="1" t="str">
        <f t="shared" si="42"/>
        <v/>
      </c>
    </row>
    <row r="247" spans="2:14">
      <c r="H247" s="2" t="str">
        <f>IFERROR(IF(F247="골드",INT(G247*검색!$A$17),VLOOKUP(F247,'거래소 최저가'!A:B,2,FALSE)*G247/VLOOKUP(F247,'거래소 최저가'!A:D,4,FALSE)),"")</f>
        <v/>
      </c>
      <c r="I247" s="2" t="str">
        <f t="shared" si="40"/>
        <v/>
      </c>
      <c r="N247" s="1" t="str">
        <f t="shared" si="42"/>
        <v/>
      </c>
    </row>
    <row r="248" spans="2:14">
      <c r="H248" s="2" t="str">
        <f>IFERROR(IF(F248="골드",INT(G248*검색!$A$17),VLOOKUP(F248,'거래소 최저가'!A:B,2,FALSE)*G248/VLOOKUP(F248,'거래소 최저가'!A:D,4,FALSE)),"")</f>
        <v/>
      </c>
      <c r="I248" s="2" t="str">
        <f t="shared" si="40"/>
        <v/>
      </c>
      <c r="N248" s="1" t="str">
        <f t="shared" si="42"/>
        <v/>
      </c>
    </row>
    <row r="249" spans="2:14">
      <c r="H249" s="2" t="str">
        <f>IFERROR(IF(F249="골드",INT(G249*검색!$A$17),VLOOKUP(F249,'거래소 최저가'!A:B,2,FALSE)*G249/VLOOKUP(F249,'거래소 최저가'!A:D,4,FALSE)),"")</f>
        <v/>
      </c>
      <c r="I249" s="2" t="str">
        <f t="shared" si="40"/>
        <v/>
      </c>
      <c r="N249" s="1" t="str">
        <f t="shared" si="42"/>
        <v/>
      </c>
    </row>
    <row r="250" spans="2:14">
      <c r="H250" s="2" t="str">
        <f>IFERROR(IF(F250="골드",INT(G250*검색!$A$17),VLOOKUP(F250,'거래소 최저가'!A:B,2,FALSE)*G250/VLOOKUP(F250,'거래소 최저가'!A:D,4,FALSE)),"")</f>
        <v/>
      </c>
      <c r="I250" s="2" t="str">
        <f t="shared" si="40"/>
        <v/>
      </c>
      <c r="N250" s="1" t="str">
        <f t="shared" si="42"/>
        <v/>
      </c>
    </row>
    <row r="251" spans="2:14">
      <c r="H251" s="2" t="str">
        <f>IFERROR(IF(F251="골드",INT(G251*검색!$A$17),VLOOKUP(F251,'거래소 최저가'!A:B,2,FALSE)*G251/VLOOKUP(F251,'거래소 최저가'!A:D,4,FALSE)),"")</f>
        <v/>
      </c>
      <c r="I251" s="2" t="str">
        <f t="shared" si="40"/>
        <v/>
      </c>
      <c r="N251" s="1" t="str">
        <f t="shared" si="42"/>
        <v/>
      </c>
    </row>
    <row r="252" spans="2:14">
      <c r="H252" s="2" t="str">
        <f>IFERROR(IF(F252="골드",INT(G252*검색!$A$17),VLOOKUP(F252,'거래소 최저가'!A:B,2,FALSE)*G252/VLOOKUP(F252,'거래소 최저가'!A:D,4,FALSE)),"")</f>
        <v/>
      </c>
      <c r="I252" s="2" t="str">
        <f t="shared" si="40"/>
        <v/>
      </c>
      <c r="N252" s="1" t="str">
        <f t="shared" si="42"/>
        <v/>
      </c>
    </row>
    <row r="253" spans="2:14">
      <c r="H253" s="2" t="str">
        <f>IFERROR(IF(F253="골드",INT(G253*검색!$A$17),VLOOKUP(F253,'거래소 최저가'!A:B,2,FALSE)*G253/VLOOKUP(F253,'거래소 최저가'!A:D,4,FALSE)),"")</f>
        <v/>
      </c>
      <c r="I253" s="2" t="str">
        <f t="shared" si="40"/>
        <v/>
      </c>
      <c r="N253" s="1" t="str">
        <f t="shared" si="42"/>
        <v/>
      </c>
    </row>
    <row r="254" spans="2:14">
      <c r="H254" s="2" t="str">
        <f>IFERROR(IF(F254="골드",INT(G254*검색!$A$17),VLOOKUP(F254,'거래소 최저가'!A:B,2,FALSE)*G254/VLOOKUP(F254,'거래소 최저가'!A:D,4,FALSE)),"")</f>
        <v/>
      </c>
      <c r="I254" s="2" t="str">
        <f t="shared" si="40"/>
        <v/>
      </c>
      <c r="N254" s="1" t="str">
        <f t="shared" si="42"/>
        <v/>
      </c>
    </row>
    <row r="255" spans="2:14">
      <c r="H255" s="2" t="str">
        <f>IFERROR(IF(F255="골드",INT(G255*검색!$A$17),VLOOKUP(F255,'거래소 최저가'!A:B,2,FALSE)*G255/VLOOKUP(F255,'거래소 최저가'!A:D,4,FALSE)),"")</f>
        <v/>
      </c>
      <c r="I255" s="2" t="str">
        <f t="shared" si="40"/>
        <v/>
      </c>
      <c r="N255" s="1" t="str">
        <f t="shared" si="42"/>
        <v/>
      </c>
    </row>
    <row r="256" spans="2:14">
      <c r="H256" s="2" t="str">
        <f>IFERROR(IF(F256="골드",INT(G256*검색!$A$17),VLOOKUP(F256,'거래소 최저가'!A:B,2,FALSE)*G256/VLOOKUP(F256,'거래소 최저가'!A:D,4,FALSE)),"")</f>
        <v/>
      </c>
      <c r="I256" s="2" t="str">
        <f t="shared" si="40"/>
        <v/>
      </c>
      <c r="N256" s="1" t="str">
        <f t="shared" si="42"/>
        <v/>
      </c>
    </row>
    <row r="257" spans="8:14">
      <c r="H257" s="2" t="str">
        <f>IFERROR(IF(F257="골드",INT(G257*검색!$A$17),VLOOKUP(F257,'거래소 최저가'!A:B,2,FALSE)*G257/VLOOKUP(F257,'거래소 최저가'!A:D,4,FALSE)),"")</f>
        <v/>
      </c>
      <c r="I257" s="2" t="str">
        <f t="shared" si="40"/>
        <v/>
      </c>
      <c r="N257" s="1" t="str">
        <f t="shared" si="42"/>
        <v/>
      </c>
    </row>
    <row r="258" spans="8:14">
      <c r="H258" s="2" t="str">
        <f>IFERROR(IF(F258="골드",INT(G258*검색!$A$17),VLOOKUP(F258,'거래소 최저가'!A:B,2,FALSE)*G258/VLOOKUP(F258,'거래소 최저가'!A:D,4,FALSE)),"")</f>
        <v/>
      </c>
      <c r="I258" s="2" t="str">
        <f t="shared" si="40"/>
        <v/>
      </c>
      <c r="N258" s="1" t="str">
        <f t="shared" si="42"/>
        <v/>
      </c>
    </row>
    <row r="259" spans="8:14">
      <c r="H259" s="2" t="str">
        <f>IFERROR(IF(F259="골드",INT(G259*검색!$A$17),VLOOKUP(F259,'거래소 최저가'!A:B,2,FALSE)*G259/VLOOKUP(F259,'거래소 최저가'!A:D,4,FALSE)),"")</f>
        <v/>
      </c>
      <c r="I259" s="2" t="str">
        <f t="shared" si="40"/>
        <v/>
      </c>
      <c r="N259" s="1" t="str">
        <f t="shared" si="42"/>
        <v/>
      </c>
    </row>
    <row r="260" spans="8:14">
      <c r="H260" s="2" t="str">
        <f>IFERROR(IF(F260="골드",INT(G260*검색!$A$17),VLOOKUP(F260,'거래소 최저가'!A:B,2,FALSE)*G260/VLOOKUP(F260,'거래소 최저가'!A:D,4,FALSE)),"")</f>
        <v/>
      </c>
      <c r="I260" s="2" t="str">
        <f t="shared" si="40"/>
        <v/>
      </c>
      <c r="N260" s="1" t="str">
        <f t="shared" si="42"/>
        <v/>
      </c>
    </row>
    <row r="261" spans="8:14">
      <c r="H261" s="2" t="str">
        <f>IFERROR(IF(F261="골드",INT(G261*검색!$A$17),VLOOKUP(F261,'거래소 최저가'!A:B,2,FALSE)*G261/VLOOKUP(F261,'거래소 최저가'!A:D,4,FALSE)),"")</f>
        <v/>
      </c>
      <c r="I261" s="2" t="str">
        <f t="shared" si="40"/>
        <v/>
      </c>
      <c r="N261" s="1" t="str">
        <f t="shared" si="42"/>
        <v/>
      </c>
    </row>
    <row r="262" spans="8:14">
      <c r="H262" s="2" t="str">
        <f>IFERROR(IF(F262="골드",INT(G262*검색!$A$17),VLOOKUP(F262,'거래소 최저가'!A:B,2,FALSE)*G262/VLOOKUP(F262,'거래소 최저가'!A:D,4,FALSE)),"")</f>
        <v/>
      </c>
      <c r="I262" s="2" t="str">
        <f t="shared" si="40"/>
        <v/>
      </c>
      <c r="N262" s="1" t="str">
        <f t="shared" si="42"/>
        <v/>
      </c>
    </row>
    <row r="263" spans="8:14">
      <c r="H263" s="2" t="str">
        <f>IFERROR(IF(F263="골드",INT(G263*검색!$A$17),VLOOKUP(F263,'거래소 최저가'!A:B,2,FALSE)*G263/VLOOKUP(F263,'거래소 최저가'!A:D,4,FALSE)),"")</f>
        <v/>
      </c>
      <c r="I263" s="2" t="str">
        <f t="shared" si="40"/>
        <v/>
      </c>
      <c r="N263" s="1" t="str">
        <f t="shared" si="42"/>
        <v/>
      </c>
    </row>
    <row r="264" spans="8:14">
      <c r="H264" s="2" t="str">
        <f>IFERROR(IF(F264="골드",INT(G264*검색!$A$17),VLOOKUP(F264,'거래소 최저가'!A:B,2,FALSE)*G264/VLOOKUP(F264,'거래소 최저가'!A:D,4,FALSE)),"")</f>
        <v/>
      </c>
      <c r="I264" s="2" t="str">
        <f t="shared" si="40"/>
        <v/>
      </c>
      <c r="N264" s="1" t="str">
        <f t="shared" si="42"/>
        <v/>
      </c>
    </row>
    <row r="265" spans="8:14">
      <c r="H265" s="2" t="str">
        <f>IFERROR(IF(F265="골드",INT(G265*검색!$A$17),VLOOKUP(F265,'거래소 최저가'!A:B,2,FALSE)*G265/VLOOKUP(F265,'거래소 최저가'!A:D,4,FALSE)),"")</f>
        <v/>
      </c>
      <c r="I265" s="2" t="str">
        <f t="shared" si="40"/>
        <v/>
      </c>
      <c r="N265" s="1" t="str">
        <f t="shared" si="42"/>
        <v/>
      </c>
    </row>
    <row r="266" spans="8:14">
      <c r="H266" s="2" t="str">
        <f>IFERROR(IF(F266="골드",INT(G266*검색!$A$17),VLOOKUP(F266,'거래소 최저가'!A:B,2,FALSE)*G266/VLOOKUP(F266,'거래소 최저가'!A:D,4,FALSE)),"")</f>
        <v/>
      </c>
      <c r="I266" s="2" t="str">
        <f t="shared" si="40"/>
        <v/>
      </c>
      <c r="N266" s="1" t="str">
        <f t="shared" si="42"/>
        <v/>
      </c>
    </row>
    <row r="267" spans="8:14">
      <c r="H267" s="2" t="str">
        <f>IFERROR(IF(F267="골드",INT(G267*검색!$A$17),VLOOKUP(F267,'거래소 최저가'!A:B,2,FALSE)*G267/VLOOKUP(F267,'거래소 최저가'!A:D,4,FALSE)),"")</f>
        <v/>
      </c>
      <c r="I267" s="2" t="str">
        <f t="shared" si="40"/>
        <v/>
      </c>
      <c r="N267" s="1" t="str">
        <f t="shared" si="42"/>
        <v/>
      </c>
    </row>
    <row r="268" spans="8:14">
      <c r="H268" s="2" t="str">
        <f>IFERROR(IF(F268="골드",INT(G268*검색!$A$17),VLOOKUP(F268,'거래소 최저가'!A:B,2,FALSE)*G268/VLOOKUP(F268,'거래소 최저가'!A:D,4,FALSE)),"")</f>
        <v/>
      </c>
      <c r="I268" s="2" t="str">
        <f t="shared" si="40"/>
        <v/>
      </c>
      <c r="N268" s="1" t="str">
        <f t="shared" si="42"/>
        <v/>
      </c>
    </row>
    <row r="269" spans="8:14">
      <c r="H269" s="2" t="str">
        <f>IFERROR(IF(F269="골드",INT(G269*검색!$A$17),VLOOKUP(F269,'거래소 최저가'!A:B,2,FALSE)*G269/VLOOKUP(F269,'거래소 최저가'!A:D,4,FALSE)),"")</f>
        <v/>
      </c>
      <c r="I269" s="2" t="str">
        <f t="shared" si="40"/>
        <v/>
      </c>
      <c r="N269" s="1" t="str">
        <f t="shared" si="42"/>
        <v/>
      </c>
    </row>
    <row r="270" spans="8:14">
      <c r="H270" s="2" t="str">
        <f>IFERROR(IF(F270="골드",INT(G270*검색!$A$17),VLOOKUP(F270,'거래소 최저가'!A:B,2,FALSE)*G270/VLOOKUP(F270,'거래소 최저가'!A:D,4,FALSE)),"")</f>
        <v/>
      </c>
      <c r="I270" s="2" t="str">
        <f t="shared" ref="I270:I333" si="44">IF(ISBLANK(A270),"",SUM(H270:H1270)-SUM(I271:I1271))</f>
        <v/>
      </c>
      <c r="N270" s="1" t="str">
        <f t="shared" ref="N270:N333" si="45">IF(ISBLANK(A270),"",E270/C270)</f>
        <v/>
      </c>
    </row>
    <row r="271" spans="8:14">
      <c r="H271" s="2" t="str">
        <f>IFERROR(IF(F271="골드",INT(G271*검색!$A$17),VLOOKUP(F271,'거래소 최저가'!A:B,2,FALSE)*G271/VLOOKUP(F271,'거래소 최저가'!A:D,4,FALSE)),"")</f>
        <v/>
      </c>
      <c r="I271" s="2" t="str">
        <f t="shared" si="44"/>
        <v/>
      </c>
      <c r="N271" s="1" t="str">
        <f t="shared" si="45"/>
        <v/>
      </c>
    </row>
    <row r="272" spans="8:14">
      <c r="H272" s="2" t="str">
        <f>IFERROR(IF(F272="골드",INT(G272*검색!$A$17),VLOOKUP(F272,'거래소 최저가'!A:B,2,FALSE)*G272/VLOOKUP(F272,'거래소 최저가'!A:D,4,FALSE)),"")</f>
        <v/>
      </c>
      <c r="I272" s="2" t="str">
        <f t="shared" si="44"/>
        <v/>
      </c>
      <c r="N272" s="1" t="str">
        <f t="shared" si="45"/>
        <v/>
      </c>
    </row>
    <row r="273" spans="8:14">
      <c r="H273" s="2" t="str">
        <f>IFERROR(IF(F273="골드",INT(G273*검색!$A$17),VLOOKUP(F273,'거래소 최저가'!A:B,2,FALSE)*G273/VLOOKUP(F273,'거래소 최저가'!A:D,4,FALSE)),"")</f>
        <v/>
      </c>
      <c r="I273" s="2" t="str">
        <f t="shared" si="44"/>
        <v/>
      </c>
      <c r="N273" s="1" t="str">
        <f t="shared" si="45"/>
        <v/>
      </c>
    </row>
    <row r="274" spans="8:14">
      <c r="H274" s="2" t="str">
        <f>IFERROR(IF(F274="골드",INT(G274*검색!$A$17),VLOOKUP(F274,'거래소 최저가'!A:B,2,FALSE)*G274/VLOOKUP(F274,'거래소 최저가'!A:D,4,FALSE)),"")</f>
        <v/>
      </c>
      <c r="I274" s="2" t="str">
        <f t="shared" si="44"/>
        <v/>
      </c>
      <c r="N274" s="1" t="str">
        <f t="shared" si="45"/>
        <v/>
      </c>
    </row>
    <row r="275" spans="8:14">
      <c r="H275" s="2" t="str">
        <f>IFERROR(IF(F275="골드",INT(G275*검색!$A$17),VLOOKUP(F275,'거래소 최저가'!A:B,2,FALSE)*G275/VLOOKUP(F275,'거래소 최저가'!A:D,4,FALSE)),"")</f>
        <v/>
      </c>
      <c r="I275" s="2" t="str">
        <f t="shared" si="44"/>
        <v/>
      </c>
      <c r="N275" s="1" t="str">
        <f t="shared" si="45"/>
        <v/>
      </c>
    </row>
    <row r="276" spans="8:14">
      <c r="H276" s="2" t="str">
        <f>IFERROR(IF(F276="골드",INT(G276*검색!$A$17),VLOOKUP(F276,'거래소 최저가'!A:B,2,FALSE)*G276/VLOOKUP(F276,'거래소 최저가'!A:D,4,FALSE)),"")</f>
        <v/>
      </c>
      <c r="I276" s="2" t="str">
        <f t="shared" si="44"/>
        <v/>
      </c>
      <c r="N276" s="1" t="str">
        <f t="shared" si="45"/>
        <v/>
      </c>
    </row>
    <row r="277" spans="8:14">
      <c r="H277" s="2" t="str">
        <f>IFERROR(IF(F277="골드",G277,VLOOKUP(F277,'거래소 최저가'!A:B,2,FALSE)*G277/VLOOKUP(F277,'거래소 최저가'!A:D,4,FALSE)),"")</f>
        <v/>
      </c>
      <c r="I277" s="2" t="str">
        <f t="shared" si="44"/>
        <v/>
      </c>
      <c r="N277" s="1" t="str">
        <f t="shared" si="45"/>
        <v/>
      </c>
    </row>
    <row r="278" spans="8:14">
      <c r="H278" s="2" t="str">
        <f>IFERROR(IF(F278="골드",G278,VLOOKUP(F278,'거래소 최저가'!A:B,2,FALSE)*G278/VLOOKUP(F278,'거래소 최저가'!A:D,4,FALSE)),"")</f>
        <v/>
      </c>
      <c r="I278" s="2" t="str">
        <f t="shared" si="44"/>
        <v/>
      </c>
      <c r="N278" s="1" t="str">
        <f t="shared" si="45"/>
        <v/>
      </c>
    </row>
    <row r="279" spans="8:14">
      <c r="H279" s="2" t="str">
        <f>IFERROR(IF(F279="골드",G279,VLOOKUP(F279,'거래소 최저가'!A:B,2,FALSE)*G279/VLOOKUP(F279,'거래소 최저가'!A:D,4,FALSE)),"")</f>
        <v/>
      </c>
      <c r="I279" s="2" t="str">
        <f t="shared" si="44"/>
        <v/>
      </c>
      <c r="N279" s="1" t="str">
        <f t="shared" si="45"/>
        <v/>
      </c>
    </row>
    <row r="280" spans="8:14">
      <c r="H280" s="2" t="str">
        <f>IFERROR(IF(F280="골드",G280,VLOOKUP(F280,'거래소 최저가'!A:B,2,FALSE)*G280/VLOOKUP(F280,'거래소 최저가'!A:D,4,FALSE)),"")</f>
        <v/>
      </c>
      <c r="I280" s="2" t="str">
        <f t="shared" si="44"/>
        <v/>
      </c>
      <c r="N280" s="1" t="str">
        <f t="shared" si="45"/>
        <v/>
      </c>
    </row>
    <row r="281" spans="8:14">
      <c r="H281" s="2" t="str">
        <f>IFERROR(IF(F281="골드",G281,VLOOKUP(F281,'거래소 최저가'!A:B,2,FALSE)*G281/VLOOKUP(F281,'거래소 최저가'!A:D,4,FALSE)),"")</f>
        <v/>
      </c>
      <c r="I281" s="2" t="str">
        <f t="shared" si="44"/>
        <v/>
      </c>
      <c r="N281" s="1" t="str">
        <f t="shared" si="45"/>
        <v/>
      </c>
    </row>
    <row r="282" spans="8:14">
      <c r="H282" s="2" t="str">
        <f>IFERROR(IF(F282="골드",G282,VLOOKUP(F282,'거래소 최저가'!A:B,2,FALSE)*G282/VLOOKUP(F282,'거래소 최저가'!A:D,4,FALSE)),"")</f>
        <v/>
      </c>
      <c r="I282" s="2" t="str">
        <f t="shared" si="44"/>
        <v/>
      </c>
      <c r="N282" s="1" t="str">
        <f t="shared" si="45"/>
        <v/>
      </c>
    </row>
    <row r="283" spans="8:14">
      <c r="H283" s="2" t="str">
        <f>IFERROR(IF(F283="골드",G283,VLOOKUP(F283,'거래소 최저가'!A:B,2,FALSE)*G283/VLOOKUP(F283,'거래소 최저가'!A:D,4,FALSE)),"")</f>
        <v/>
      </c>
      <c r="I283" s="2" t="str">
        <f t="shared" si="44"/>
        <v/>
      </c>
      <c r="N283" s="1" t="str">
        <f t="shared" si="45"/>
        <v/>
      </c>
    </row>
    <row r="284" spans="8:14">
      <c r="H284" s="2" t="str">
        <f>IFERROR(IF(F284="골드",G284,VLOOKUP(F284,'거래소 최저가'!A:B,2,FALSE)*G284/VLOOKUP(F284,'거래소 최저가'!A:D,4,FALSE)),"")</f>
        <v/>
      </c>
      <c r="I284" s="2" t="str">
        <f t="shared" si="44"/>
        <v/>
      </c>
      <c r="N284" s="1" t="str">
        <f t="shared" si="45"/>
        <v/>
      </c>
    </row>
    <row r="285" spans="8:14">
      <c r="H285" s="2" t="str">
        <f>IFERROR(IF(F285="골드",G285,VLOOKUP(F285,'거래소 최저가'!A:B,2,FALSE)*G285/VLOOKUP(F285,'거래소 최저가'!A:D,4,FALSE)),"")</f>
        <v/>
      </c>
      <c r="I285" s="2" t="str">
        <f t="shared" si="44"/>
        <v/>
      </c>
      <c r="N285" s="1" t="str">
        <f t="shared" si="45"/>
        <v/>
      </c>
    </row>
    <row r="286" spans="8:14">
      <c r="H286" s="2" t="str">
        <f>IFERROR(IF(F286="골드",G286,VLOOKUP(F286,'거래소 최저가'!A:B,2,FALSE)*G286/VLOOKUP(F286,'거래소 최저가'!A:D,4,FALSE)),"")</f>
        <v/>
      </c>
      <c r="I286" s="2" t="str">
        <f t="shared" si="44"/>
        <v/>
      </c>
      <c r="N286" s="1" t="str">
        <f t="shared" si="45"/>
        <v/>
      </c>
    </row>
    <row r="287" spans="8:14">
      <c r="H287" s="2" t="str">
        <f>IFERROR(IF(F287="골드",G287,VLOOKUP(F287,'거래소 최저가'!A:B,2,FALSE)*G287/VLOOKUP(F287,'거래소 최저가'!A:D,4,FALSE)),"")</f>
        <v/>
      </c>
      <c r="I287" s="2" t="str">
        <f t="shared" si="44"/>
        <v/>
      </c>
      <c r="N287" s="1" t="str">
        <f t="shared" si="45"/>
        <v/>
      </c>
    </row>
    <row r="288" spans="8:14">
      <c r="H288" s="2" t="str">
        <f>IFERROR(IF(F288="골드",G288,VLOOKUP(F288,'거래소 최저가'!A:B,2,FALSE)*G288/VLOOKUP(F288,'거래소 최저가'!A:D,4,FALSE)),"")</f>
        <v/>
      </c>
      <c r="I288" s="2" t="str">
        <f t="shared" si="44"/>
        <v/>
      </c>
      <c r="N288" s="1" t="str">
        <f t="shared" si="45"/>
        <v/>
      </c>
    </row>
    <row r="289" spans="8:14">
      <c r="H289" s="2" t="str">
        <f>IFERROR(IF(F289="골드",G289,VLOOKUP(F289,'거래소 최저가'!A:B,2,FALSE)*G289/VLOOKUP(F289,'거래소 최저가'!A:D,4,FALSE)),"")</f>
        <v/>
      </c>
      <c r="I289" s="2" t="str">
        <f t="shared" si="44"/>
        <v/>
      </c>
      <c r="N289" s="1" t="str">
        <f t="shared" si="45"/>
        <v/>
      </c>
    </row>
    <row r="290" spans="8:14">
      <c r="H290" s="2" t="str">
        <f>IFERROR(IF(F290="골드",G290,VLOOKUP(F290,'거래소 최저가'!A:B,2,FALSE)*G290/VLOOKUP(F290,'거래소 최저가'!A:D,4,FALSE)),"")</f>
        <v/>
      </c>
      <c r="I290" s="2" t="str">
        <f t="shared" si="44"/>
        <v/>
      </c>
      <c r="N290" s="1" t="str">
        <f t="shared" si="45"/>
        <v/>
      </c>
    </row>
    <row r="291" spans="8:14">
      <c r="H291" s="2" t="str">
        <f>IFERROR(IF(F291="골드",G291,VLOOKUP(F291,'거래소 최저가'!A:B,2,FALSE)*G291/VLOOKUP(F291,'거래소 최저가'!A:D,4,FALSE)),"")</f>
        <v/>
      </c>
      <c r="I291" s="2" t="str">
        <f t="shared" si="44"/>
        <v/>
      </c>
      <c r="N291" s="1" t="str">
        <f t="shared" si="45"/>
        <v/>
      </c>
    </row>
    <row r="292" spans="8:14">
      <c r="H292" s="2" t="str">
        <f>IFERROR(IF(F292="골드",G292,VLOOKUP(F292,'거래소 최저가'!A:B,2,FALSE)*G292/VLOOKUP(F292,'거래소 최저가'!A:D,4,FALSE)),"")</f>
        <v/>
      </c>
      <c r="I292" s="2" t="str">
        <f t="shared" si="44"/>
        <v/>
      </c>
      <c r="N292" s="1" t="str">
        <f t="shared" si="45"/>
        <v/>
      </c>
    </row>
    <row r="293" spans="8:14">
      <c r="H293" s="2" t="str">
        <f>IFERROR(IF(F293="골드",G293,VLOOKUP(F293,'거래소 최저가'!A:B,2,FALSE)*G293/VLOOKUP(F293,'거래소 최저가'!A:D,4,FALSE)),"")</f>
        <v/>
      </c>
      <c r="I293" s="2" t="str">
        <f t="shared" si="44"/>
        <v/>
      </c>
      <c r="N293" s="1" t="str">
        <f t="shared" si="45"/>
        <v/>
      </c>
    </row>
    <row r="294" spans="8:14">
      <c r="H294" s="2" t="str">
        <f>IFERROR(IF(F294="골드",G294,VLOOKUP(F294,'거래소 최저가'!A:B,2,FALSE)*G294/VLOOKUP(F294,'거래소 최저가'!A:D,4,FALSE)),"")</f>
        <v/>
      </c>
      <c r="I294" s="2" t="str">
        <f t="shared" si="44"/>
        <v/>
      </c>
      <c r="N294" s="1" t="str">
        <f t="shared" si="45"/>
        <v/>
      </c>
    </row>
    <row r="295" spans="8:14">
      <c r="H295" s="2" t="str">
        <f>IFERROR(IF(F295="골드",G295,VLOOKUP(F295,'거래소 최저가'!A:B,2,FALSE)*G295/VLOOKUP(F295,'거래소 최저가'!A:D,4,FALSE)),"")</f>
        <v/>
      </c>
      <c r="I295" s="2" t="str">
        <f t="shared" si="44"/>
        <v/>
      </c>
      <c r="N295" s="1" t="str">
        <f t="shared" si="45"/>
        <v/>
      </c>
    </row>
    <row r="296" spans="8:14">
      <c r="H296" s="2" t="str">
        <f>IFERROR(IF(F296="골드",G296,VLOOKUP(F296,'거래소 최저가'!A:B,2,FALSE)*G296/VLOOKUP(F296,'거래소 최저가'!A:D,4,FALSE)),"")</f>
        <v/>
      </c>
      <c r="I296" s="2" t="str">
        <f t="shared" si="44"/>
        <v/>
      </c>
      <c r="N296" s="1" t="str">
        <f t="shared" si="45"/>
        <v/>
      </c>
    </row>
    <row r="297" spans="8:14">
      <c r="H297" s="2" t="str">
        <f>IFERROR(IF(F297="골드",G297,VLOOKUP(F297,'거래소 최저가'!A:B,2,FALSE)*G297/VLOOKUP(F297,'거래소 최저가'!A:D,4,FALSE)),"")</f>
        <v/>
      </c>
      <c r="I297" s="2" t="str">
        <f t="shared" si="44"/>
        <v/>
      </c>
      <c r="N297" s="1" t="str">
        <f t="shared" si="45"/>
        <v/>
      </c>
    </row>
    <row r="298" spans="8:14">
      <c r="H298" s="2" t="str">
        <f>IFERROR(IF(F298="골드",G298,VLOOKUP(F298,'거래소 최저가'!A:B,2,FALSE)*G298/VLOOKUP(F298,'거래소 최저가'!A:D,4,FALSE)),"")</f>
        <v/>
      </c>
      <c r="I298" s="2" t="str">
        <f t="shared" si="44"/>
        <v/>
      </c>
      <c r="N298" s="1" t="str">
        <f t="shared" si="45"/>
        <v/>
      </c>
    </row>
    <row r="299" spans="8:14">
      <c r="H299" s="2" t="str">
        <f>IFERROR(IF(F299="골드",G299,VLOOKUP(F299,'거래소 최저가'!A:B,2,FALSE)*G299/VLOOKUP(F299,'거래소 최저가'!A:D,4,FALSE)),"")</f>
        <v/>
      </c>
      <c r="I299" s="2" t="str">
        <f t="shared" si="44"/>
        <v/>
      </c>
      <c r="N299" s="1" t="str">
        <f t="shared" si="45"/>
        <v/>
      </c>
    </row>
    <row r="300" spans="8:14">
      <c r="H300" s="2" t="str">
        <f>IFERROR(IF(F300="골드",G300,VLOOKUP(F300,'거래소 최저가'!A:B,2,FALSE)*G300/VLOOKUP(F300,'거래소 최저가'!A:D,4,FALSE)),"")</f>
        <v/>
      </c>
      <c r="I300" s="2" t="str">
        <f t="shared" si="44"/>
        <v/>
      </c>
      <c r="N300" s="1" t="str">
        <f t="shared" si="45"/>
        <v/>
      </c>
    </row>
    <row r="301" spans="8:14">
      <c r="H301" s="2" t="str">
        <f>IFERROR(IF(F301="골드",G301,VLOOKUP(F301,'거래소 최저가'!A:B,2,FALSE)*G301/VLOOKUP(F301,'거래소 최저가'!A:D,4,FALSE)),"")</f>
        <v/>
      </c>
      <c r="I301" s="2" t="str">
        <f t="shared" si="44"/>
        <v/>
      </c>
      <c r="N301" s="1" t="str">
        <f t="shared" si="45"/>
        <v/>
      </c>
    </row>
    <row r="302" spans="8:14">
      <c r="H302" s="2" t="str">
        <f>IFERROR(IF(F302="골드",G302,VLOOKUP(F302,'거래소 최저가'!A:B,2,FALSE)*G302/VLOOKUP(F302,'거래소 최저가'!A:D,4,FALSE)),"")</f>
        <v/>
      </c>
      <c r="I302" s="2" t="str">
        <f t="shared" si="44"/>
        <v/>
      </c>
      <c r="N302" s="1" t="str">
        <f t="shared" si="45"/>
        <v/>
      </c>
    </row>
    <row r="303" spans="8:14">
      <c r="H303" s="2" t="str">
        <f>IFERROR(IF(F303="골드",G303,VLOOKUP(F303,'거래소 최저가'!A:B,2,FALSE)*G303/VLOOKUP(F303,'거래소 최저가'!A:D,4,FALSE)),"")</f>
        <v/>
      </c>
      <c r="I303" s="2" t="str">
        <f t="shared" si="44"/>
        <v/>
      </c>
      <c r="N303" s="1" t="str">
        <f t="shared" si="45"/>
        <v/>
      </c>
    </row>
    <row r="304" spans="8:14">
      <c r="H304" s="2" t="str">
        <f>IFERROR(IF(F304="골드",G304,VLOOKUP(F304,'거래소 최저가'!A:B,2,FALSE)*G304/VLOOKUP(F304,'거래소 최저가'!A:D,4,FALSE)),"")</f>
        <v/>
      </c>
      <c r="I304" s="2" t="str">
        <f t="shared" si="44"/>
        <v/>
      </c>
      <c r="N304" s="1" t="str">
        <f t="shared" si="45"/>
        <v/>
      </c>
    </row>
    <row r="305" spans="8:14">
      <c r="H305" s="2" t="str">
        <f>IFERROR(IF(F305="골드",G305,VLOOKUP(F305,'거래소 최저가'!A:B,2,FALSE)*G305/VLOOKUP(F305,'거래소 최저가'!A:D,4,FALSE)),"")</f>
        <v/>
      </c>
      <c r="I305" s="2" t="str">
        <f t="shared" si="44"/>
        <v/>
      </c>
      <c r="N305" s="1" t="str">
        <f t="shared" si="45"/>
        <v/>
      </c>
    </row>
    <row r="306" spans="8:14">
      <c r="H306" s="2" t="str">
        <f>IFERROR(IF(F306="골드",G306,VLOOKUP(F306,'거래소 최저가'!A:B,2,FALSE)*G306/VLOOKUP(F306,'거래소 최저가'!A:D,4,FALSE)),"")</f>
        <v/>
      </c>
      <c r="I306" s="2" t="str">
        <f t="shared" si="44"/>
        <v/>
      </c>
      <c r="N306" s="1" t="str">
        <f t="shared" si="45"/>
        <v/>
      </c>
    </row>
    <row r="307" spans="8:14">
      <c r="H307" s="2" t="str">
        <f>IFERROR(IF(F307="골드",G307,VLOOKUP(F307,'거래소 최저가'!A:B,2,FALSE)*G307/VLOOKUP(F307,'거래소 최저가'!A:D,4,FALSE)),"")</f>
        <v/>
      </c>
      <c r="I307" s="2" t="str">
        <f t="shared" si="44"/>
        <v/>
      </c>
      <c r="N307" s="1" t="str">
        <f t="shared" si="45"/>
        <v/>
      </c>
    </row>
    <row r="308" spans="8:14">
      <c r="H308" s="2" t="str">
        <f>IFERROR(IF(F308="골드",G308,VLOOKUP(F308,'거래소 최저가'!A:B,2,FALSE)*G308/VLOOKUP(F308,'거래소 최저가'!A:D,4,FALSE)),"")</f>
        <v/>
      </c>
      <c r="I308" s="2" t="str">
        <f t="shared" si="44"/>
        <v/>
      </c>
      <c r="N308" s="1" t="str">
        <f t="shared" si="45"/>
        <v/>
      </c>
    </row>
    <row r="309" spans="8:14">
      <c r="H309" s="2" t="str">
        <f>IFERROR(IF(F309="골드",G309,VLOOKUP(F309,'거래소 최저가'!A:B,2,FALSE)*G309/VLOOKUP(F309,'거래소 최저가'!A:D,4,FALSE)),"")</f>
        <v/>
      </c>
      <c r="I309" s="2" t="str">
        <f t="shared" si="44"/>
        <v/>
      </c>
      <c r="N309" s="1" t="str">
        <f t="shared" si="45"/>
        <v/>
      </c>
    </row>
    <row r="310" spans="8:14">
      <c r="H310" s="2" t="str">
        <f>IFERROR(IF(F310="골드",G310,VLOOKUP(F310,'거래소 최저가'!A:B,2,FALSE)*G310/VLOOKUP(F310,'거래소 최저가'!A:D,4,FALSE)),"")</f>
        <v/>
      </c>
      <c r="I310" s="2" t="str">
        <f t="shared" si="44"/>
        <v/>
      </c>
      <c r="N310" s="1" t="str">
        <f t="shared" si="45"/>
        <v/>
      </c>
    </row>
    <row r="311" spans="8:14">
      <c r="H311" s="2" t="str">
        <f>IFERROR(IF(F311="골드",G311,VLOOKUP(F311,'거래소 최저가'!A:B,2,FALSE)*G311/VLOOKUP(F311,'거래소 최저가'!A:D,4,FALSE)),"")</f>
        <v/>
      </c>
      <c r="I311" s="2" t="str">
        <f t="shared" si="44"/>
        <v/>
      </c>
      <c r="N311" s="1" t="str">
        <f t="shared" si="45"/>
        <v/>
      </c>
    </row>
    <row r="312" spans="8:14">
      <c r="H312" s="2" t="str">
        <f>IFERROR(IF(F312="골드",G312,VLOOKUP(F312,'거래소 최저가'!A:B,2,FALSE)*G312/VLOOKUP(F312,'거래소 최저가'!A:D,4,FALSE)),"")</f>
        <v/>
      </c>
      <c r="I312" s="2" t="str">
        <f t="shared" si="44"/>
        <v/>
      </c>
      <c r="N312" s="1" t="str">
        <f t="shared" si="45"/>
        <v/>
      </c>
    </row>
    <row r="313" spans="8:14">
      <c r="H313" s="2" t="str">
        <f>IFERROR(IF(F313="골드",G313,VLOOKUP(F313,'거래소 최저가'!A:B,2,FALSE)*G313/VLOOKUP(F313,'거래소 최저가'!A:D,4,FALSE)),"")</f>
        <v/>
      </c>
      <c r="I313" s="2" t="str">
        <f t="shared" si="44"/>
        <v/>
      </c>
      <c r="N313" s="1" t="str">
        <f t="shared" si="45"/>
        <v/>
      </c>
    </row>
    <row r="314" spans="8:14">
      <c r="H314" s="2" t="str">
        <f>IFERROR(IF(F314="골드",G314,VLOOKUP(F314,'거래소 최저가'!A:B,2,FALSE)*G314/VLOOKUP(F314,'거래소 최저가'!A:D,4,FALSE)),"")</f>
        <v/>
      </c>
      <c r="I314" s="2" t="str">
        <f t="shared" si="44"/>
        <v/>
      </c>
      <c r="N314" s="1" t="str">
        <f t="shared" si="45"/>
        <v/>
      </c>
    </row>
    <row r="315" spans="8:14">
      <c r="H315" s="2" t="str">
        <f>IFERROR(IF(F315="골드",G315,VLOOKUP(F315,'거래소 최저가'!A:B,2,FALSE)*G315/VLOOKUP(F315,'거래소 최저가'!A:D,4,FALSE)),"")</f>
        <v/>
      </c>
      <c r="I315" s="2" t="str">
        <f t="shared" si="44"/>
        <v/>
      </c>
      <c r="N315" s="1" t="str">
        <f t="shared" si="45"/>
        <v/>
      </c>
    </row>
    <row r="316" spans="8:14">
      <c r="H316" s="2" t="str">
        <f>IFERROR(IF(F316="골드",G316,VLOOKUP(F316,'거래소 최저가'!A:B,2,FALSE)*G316/VLOOKUP(F316,'거래소 최저가'!A:D,4,FALSE)),"")</f>
        <v/>
      </c>
      <c r="I316" s="2" t="str">
        <f t="shared" si="44"/>
        <v/>
      </c>
      <c r="N316" s="1" t="str">
        <f t="shared" si="45"/>
        <v/>
      </c>
    </row>
    <row r="317" spans="8:14">
      <c r="H317" s="2" t="str">
        <f>IFERROR(IF(F317="골드",G317,VLOOKUP(F317,'거래소 최저가'!A:B,2,FALSE)*G317/VLOOKUP(F317,'거래소 최저가'!A:D,4,FALSE)),"")</f>
        <v/>
      </c>
      <c r="I317" s="2" t="str">
        <f t="shared" si="44"/>
        <v/>
      </c>
      <c r="N317" s="1" t="str">
        <f t="shared" si="45"/>
        <v/>
      </c>
    </row>
    <row r="318" spans="8:14">
      <c r="H318" s="2" t="str">
        <f>IFERROR(IF(F318="골드",G318,VLOOKUP(F318,'거래소 최저가'!A:B,2,FALSE)*G318/VLOOKUP(F318,'거래소 최저가'!A:D,4,FALSE)),"")</f>
        <v/>
      </c>
      <c r="I318" s="2" t="str">
        <f t="shared" si="44"/>
        <v/>
      </c>
      <c r="N318" s="1" t="str">
        <f t="shared" si="45"/>
        <v/>
      </c>
    </row>
    <row r="319" spans="8:14">
      <c r="H319" s="2" t="str">
        <f>IFERROR(IF(F319="골드",G319,VLOOKUP(F319,'거래소 최저가'!A:B,2,FALSE)*G319/VLOOKUP(F319,'거래소 최저가'!A:D,4,FALSE)),"")</f>
        <v/>
      </c>
      <c r="I319" s="2" t="str">
        <f t="shared" si="44"/>
        <v/>
      </c>
      <c r="N319" s="1" t="str">
        <f t="shared" si="45"/>
        <v/>
      </c>
    </row>
    <row r="320" spans="8:14">
      <c r="H320" s="2" t="str">
        <f>IFERROR(IF(F320="골드",G320,VLOOKUP(F320,'거래소 최저가'!A:B,2,FALSE)*G320/VLOOKUP(F320,'거래소 최저가'!A:D,4,FALSE)),"")</f>
        <v/>
      </c>
      <c r="I320" s="2" t="str">
        <f t="shared" si="44"/>
        <v/>
      </c>
      <c r="N320" s="1" t="str">
        <f t="shared" si="45"/>
        <v/>
      </c>
    </row>
    <row r="321" spans="8:14">
      <c r="H321" s="2" t="str">
        <f>IFERROR(IF(F321="골드",G321,VLOOKUP(F321,'거래소 최저가'!A:B,2,FALSE)*G321/VLOOKUP(F321,'거래소 최저가'!A:D,4,FALSE)),"")</f>
        <v/>
      </c>
      <c r="I321" s="2" t="str">
        <f t="shared" si="44"/>
        <v/>
      </c>
      <c r="N321" s="1" t="str">
        <f t="shared" si="45"/>
        <v/>
      </c>
    </row>
    <row r="322" spans="8:14">
      <c r="H322" s="2" t="str">
        <f>IFERROR(IF(F322="골드",G322,VLOOKUP(F322,'거래소 최저가'!A:B,2,FALSE)*G322/VLOOKUP(F322,'거래소 최저가'!A:D,4,FALSE)),"")</f>
        <v/>
      </c>
      <c r="I322" s="2" t="str">
        <f t="shared" si="44"/>
        <v/>
      </c>
      <c r="N322" s="1" t="str">
        <f t="shared" si="45"/>
        <v/>
      </c>
    </row>
    <row r="323" spans="8:14">
      <c r="H323" s="2" t="str">
        <f>IFERROR(IF(F323="골드",G323,VLOOKUP(F323,'거래소 최저가'!A:B,2,FALSE)*G323/VLOOKUP(F323,'거래소 최저가'!A:D,4,FALSE)),"")</f>
        <v/>
      </c>
      <c r="I323" s="2" t="str">
        <f t="shared" si="44"/>
        <v/>
      </c>
      <c r="N323" s="1" t="str">
        <f t="shared" si="45"/>
        <v/>
      </c>
    </row>
    <row r="324" spans="8:14">
      <c r="H324" s="2" t="str">
        <f>IFERROR(IF(F324="골드",G324,VLOOKUP(F324,'거래소 최저가'!A:B,2,FALSE)*G324/VLOOKUP(F324,'거래소 최저가'!A:D,4,FALSE)),"")</f>
        <v/>
      </c>
      <c r="I324" s="2" t="str">
        <f t="shared" si="44"/>
        <v/>
      </c>
      <c r="N324" s="1" t="str">
        <f t="shared" si="45"/>
        <v/>
      </c>
    </row>
    <row r="325" spans="8:14">
      <c r="H325" s="2" t="str">
        <f>IFERROR(IF(F325="골드",G325,VLOOKUP(F325,'거래소 최저가'!A:B,2,FALSE)*G325/VLOOKUP(F325,'거래소 최저가'!A:D,4,FALSE)),"")</f>
        <v/>
      </c>
      <c r="I325" s="2" t="str">
        <f t="shared" si="44"/>
        <v/>
      </c>
      <c r="N325" s="1" t="str">
        <f t="shared" si="45"/>
        <v/>
      </c>
    </row>
    <row r="326" spans="8:14">
      <c r="H326" s="2" t="str">
        <f>IFERROR(IF(F326="골드",G326,VLOOKUP(F326,'거래소 최저가'!A:B,2,FALSE)*G326/VLOOKUP(F326,'거래소 최저가'!A:D,4,FALSE)),"")</f>
        <v/>
      </c>
      <c r="I326" s="2" t="str">
        <f t="shared" si="44"/>
        <v/>
      </c>
      <c r="N326" s="1" t="str">
        <f t="shared" si="45"/>
        <v/>
      </c>
    </row>
    <row r="327" spans="8:14">
      <c r="H327" s="2" t="str">
        <f>IFERROR(IF(F327="골드",G327,VLOOKUP(F327,'거래소 최저가'!A:B,2,FALSE)*G327/VLOOKUP(F327,'거래소 최저가'!A:D,4,FALSE)),"")</f>
        <v/>
      </c>
      <c r="I327" s="2" t="str">
        <f t="shared" si="44"/>
        <v/>
      </c>
      <c r="N327" s="1" t="str">
        <f t="shared" si="45"/>
        <v/>
      </c>
    </row>
    <row r="328" spans="8:14">
      <c r="H328" s="2" t="str">
        <f>IFERROR(IF(F328="골드",G328,VLOOKUP(F328,'거래소 최저가'!A:B,2,FALSE)*G328/VLOOKUP(F328,'거래소 최저가'!A:D,4,FALSE)),"")</f>
        <v/>
      </c>
      <c r="I328" s="2" t="str">
        <f t="shared" si="44"/>
        <v/>
      </c>
      <c r="N328" s="1" t="str">
        <f t="shared" si="45"/>
        <v/>
      </c>
    </row>
    <row r="329" spans="8:14">
      <c r="H329" s="2" t="str">
        <f>IFERROR(IF(F329="골드",G329,VLOOKUP(F329,'거래소 최저가'!A:B,2,FALSE)*G329/VLOOKUP(F329,'거래소 최저가'!A:D,4,FALSE)),"")</f>
        <v/>
      </c>
      <c r="I329" s="2" t="str">
        <f t="shared" si="44"/>
        <v/>
      </c>
      <c r="N329" s="1" t="str">
        <f t="shared" si="45"/>
        <v/>
      </c>
    </row>
    <row r="330" spans="8:14">
      <c r="H330" s="2" t="str">
        <f>IFERROR(IF(F330="골드",G330,VLOOKUP(F330,'거래소 최저가'!A:B,2,FALSE)*G330/VLOOKUP(F330,'거래소 최저가'!A:D,4,FALSE)),"")</f>
        <v/>
      </c>
      <c r="I330" s="2" t="str">
        <f t="shared" si="44"/>
        <v/>
      </c>
      <c r="N330" s="1" t="str">
        <f t="shared" si="45"/>
        <v/>
      </c>
    </row>
    <row r="331" spans="8:14">
      <c r="H331" s="2" t="str">
        <f>IFERROR(IF(F331="골드",G331,VLOOKUP(F331,'거래소 최저가'!A:B,2,FALSE)*G331/VLOOKUP(F331,'거래소 최저가'!A:D,4,FALSE)),"")</f>
        <v/>
      </c>
      <c r="I331" s="2" t="str">
        <f t="shared" si="44"/>
        <v/>
      </c>
      <c r="N331" s="1" t="str">
        <f t="shared" si="45"/>
        <v/>
      </c>
    </row>
    <row r="332" spans="8:14">
      <c r="H332" s="2" t="str">
        <f>IFERROR(IF(F332="골드",G332,VLOOKUP(F332,'거래소 최저가'!A:B,2,FALSE)*G332/VLOOKUP(F332,'거래소 최저가'!A:D,4,FALSE)),"")</f>
        <v/>
      </c>
      <c r="I332" s="2" t="str">
        <f t="shared" si="44"/>
        <v/>
      </c>
      <c r="N332" s="1" t="str">
        <f t="shared" si="45"/>
        <v/>
      </c>
    </row>
    <row r="333" spans="8:14">
      <c r="H333" s="2" t="str">
        <f>IFERROR(IF(F333="골드",G333,VLOOKUP(F333,'거래소 최저가'!A:B,2,FALSE)*G333/VLOOKUP(F333,'거래소 최저가'!A:D,4,FALSE)),"")</f>
        <v/>
      </c>
      <c r="I333" s="2" t="str">
        <f t="shared" si="44"/>
        <v/>
      </c>
      <c r="N333" s="1" t="str">
        <f t="shared" si="45"/>
        <v/>
      </c>
    </row>
    <row r="334" spans="8:14">
      <c r="H334" s="2" t="str">
        <f>IFERROR(IF(F334="골드",G334,VLOOKUP(F334,'거래소 최저가'!A:B,2,FALSE)*G334/VLOOKUP(F334,'거래소 최저가'!A:D,4,FALSE)),"")</f>
        <v/>
      </c>
      <c r="I334" s="2" t="str">
        <f t="shared" ref="I334:I380" si="46">IF(ISBLANK(A334),"",SUM(H334:H1334)-SUM(I335:I1335))</f>
        <v/>
      </c>
      <c r="N334" s="1" t="str">
        <f t="shared" ref="N334:N356" si="47">IF(ISBLANK(A334),"",E334/C334)</f>
        <v/>
      </c>
    </row>
    <row r="335" spans="8:14">
      <c r="H335" s="2" t="str">
        <f>IFERROR(IF(F335="골드",G335,VLOOKUP(F335,'거래소 최저가'!A:B,2,FALSE)*G335/VLOOKUP(F335,'거래소 최저가'!A:D,4,FALSE)),"")</f>
        <v/>
      </c>
      <c r="I335" s="2" t="str">
        <f t="shared" si="46"/>
        <v/>
      </c>
      <c r="N335" s="1" t="str">
        <f t="shared" si="47"/>
        <v/>
      </c>
    </row>
    <row r="336" spans="8:14">
      <c r="H336" s="2" t="str">
        <f>IFERROR(IF(F336="골드",G336,VLOOKUP(F336,'거래소 최저가'!A:B,2,FALSE)*G336/VLOOKUP(F336,'거래소 최저가'!A:D,4,FALSE)),"")</f>
        <v/>
      </c>
      <c r="I336" s="2" t="str">
        <f t="shared" si="46"/>
        <v/>
      </c>
      <c r="N336" s="1" t="str">
        <f t="shared" si="47"/>
        <v/>
      </c>
    </row>
    <row r="337" spans="8:14">
      <c r="H337" s="2" t="str">
        <f>IFERROR(IF(F337="골드",G337,VLOOKUP(F337,'거래소 최저가'!A:B,2,FALSE)*G337/VLOOKUP(F337,'거래소 최저가'!A:D,4,FALSE)),"")</f>
        <v/>
      </c>
      <c r="I337" s="2" t="str">
        <f t="shared" si="46"/>
        <v/>
      </c>
      <c r="N337" s="1" t="str">
        <f t="shared" si="47"/>
        <v/>
      </c>
    </row>
    <row r="338" spans="8:14">
      <c r="H338" s="2" t="str">
        <f>IFERROR(IF(F338="골드",G338,VLOOKUP(F338,'거래소 최저가'!A:B,2,FALSE)*G338/VLOOKUP(F338,'거래소 최저가'!A:D,4,FALSE)),"")</f>
        <v/>
      </c>
      <c r="I338" s="2" t="str">
        <f t="shared" si="46"/>
        <v/>
      </c>
      <c r="N338" s="1" t="str">
        <f t="shared" si="47"/>
        <v/>
      </c>
    </row>
    <row r="339" spans="8:14">
      <c r="H339" s="2" t="str">
        <f>IFERROR(IF(F339="골드",G339,VLOOKUP(F339,'거래소 최저가'!A:B,2,FALSE)*G339/VLOOKUP(F339,'거래소 최저가'!A:D,4,FALSE)),"")</f>
        <v/>
      </c>
      <c r="I339" s="2" t="str">
        <f t="shared" si="46"/>
        <v/>
      </c>
      <c r="N339" s="1" t="str">
        <f t="shared" si="47"/>
        <v/>
      </c>
    </row>
    <row r="340" spans="8:14">
      <c r="H340" s="2" t="str">
        <f>IFERROR(IF(F340="골드",G340,VLOOKUP(F340,'거래소 최저가'!A:B,2,FALSE)*G340/VLOOKUP(F340,'거래소 최저가'!A:D,4,FALSE)),"")</f>
        <v/>
      </c>
      <c r="I340" s="2" t="str">
        <f t="shared" si="46"/>
        <v/>
      </c>
      <c r="N340" s="1" t="str">
        <f t="shared" si="47"/>
        <v/>
      </c>
    </row>
    <row r="341" spans="8:14">
      <c r="H341" s="2" t="str">
        <f>IFERROR(IF(F341="골드",G341,VLOOKUP(F341,'거래소 최저가'!A:B,2,FALSE)*G341/VLOOKUP(F341,'거래소 최저가'!A:D,4,FALSE)),"")</f>
        <v/>
      </c>
      <c r="I341" s="2" t="str">
        <f t="shared" si="46"/>
        <v/>
      </c>
      <c r="N341" s="1" t="str">
        <f t="shared" si="47"/>
        <v/>
      </c>
    </row>
    <row r="342" spans="8:14">
      <c r="H342" s="2" t="str">
        <f>IFERROR(IF(F342="골드",G342,VLOOKUP(F342,'거래소 최저가'!A:B,2,FALSE)*G342/VLOOKUP(F342,'거래소 최저가'!A:D,4,FALSE)),"")</f>
        <v/>
      </c>
      <c r="I342" s="2" t="str">
        <f t="shared" si="46"/>
        <v/>
      </c>
      <c r="N342" s="1" t="str">
        <f t="shared" si="47"/>
        <v/>
      </c>
    </row>
    <row r="343" spans="8:14">
      <c r="H343" s="2" t="str">
        <f>IFERROR(IF(F343="골드",G343,VLOOKUP(F343,'거래소 최저가'!A:B,2,FALSE)*G343/VLOOKUP(F343,'거래소 최저가'!A:D,4,FALSE)),"")</f>
        <v/>
      </c>
      <c r="I343" s="2" t="str">
        <f t="shared" si="46"/>
        <v/>
      </c>
      <c r="N343" s="1" t="str">
        <f t="shared" si="47"/>
        <v/>
      </c>
    </row>
    <row r="344" spans="8:14">
      <c r="H344" s="2" t="str">
        <f>IFERROR(IF(F344="골드",G344,VLOOKUP(F344,'거래소 최저가'!A:B,2,FALSE)*G344/VLOOKUP(F344,'거래소 최저가'!A:D,4,FALSE)),"")</f>
        <v/>
      </c>
      <c r="I344" s="2" t="str">
        <f t="shared" si="46"/>
        <v/>
      </c>
      <c r="N344" s="1" t="str">
        <f t="shared" si="47"/>
        <v/>
      </c>
    </row>
    <row r="345" spans="8:14">
      <c r="H345" s="2" t="str">
        <f>IFERROR(IF(F345="골드",G345,VLOOKUP(F345,'거래소 최저가'!A:B,2,FALSE)*G345/VLOOKUP(F345,'거래소 최저가'!A:D,4,FALSE)),"")</f>
        <v/>
      </c>
      <c r="I345" s="2" t="str">
        <f t="shared" si="46"/>
        <v/>
      </c>
      <c r="N345" s="1" t="str">
        <f t="shared" si="47"/>
        <v/>
      </c>
    </row>
    <row r="346" spans="8:14">
      <c r="H346" s="2" t="str">
        <f>IFERROR(IF(F346="골드",G346,VLOOKUP(F346,'거래소 최저가'!A:B,2,FALSE)*G346/VLOOKUP(F346,'거래소 최저가'!A:D,4,FALSE)),"")</f>
        <v/>
      </c>
      <c r="I346" s="2" t="str">
        <f t="shared" si="46"/>
        <v/>
      </c>
      <c r="N346" s="1" t="str">
        <f t="shared" si="47"/>
        <v/>
      </c>
    </row>
    <row r="347" spans="8:14">
      <c r="H347" s="2" t="str">
        <f>IFERROR(IF(F347="골드",G347,VLOOKUP(F347,'거래소 최저가'!A:B,2,FALSE)*G347/VLOOKUP(F347,'거래소 최저가'!A:D,4,FALSE)),"")</f>
        <v/>
      </c>
      <c r="I347" s="2" t="str">
        <f t="shared" si="46"/>
        <v/>
      </c>
      <c r="N347" s="1" t="str">
        <f t="shared" si="47"/>
        <v/>
      </c>
    </row>
    <row r="348" spans="8:14">
      <c r="H348" s="2" t="str">
        <f>IFERROR(IF(F348="골드",G348,VLOOKUP(F348,'거래소 최저가'!A:B,2,FALSE)*G348/VLOOKUP(F348,'거래소 최저가'!A:D,4,FALSE)),"")</f>
        <v/>
      </c>
      <c r="I348" s="2" t="str">
        <f t="shared" si="46"/>
        <v/>
      </c>
      <c r="N348" s="1" t="str">
        <f t="shared" si="47"/>
        <v/>
      </c>
    </row>
    <row r="349" spans="8:14">
      <c r="H349" s="2" t="str">
        <f>IFERROR(IF(F349="골드",G349,VLOOKUP(F349,'거래소 최저가'!A:B,2,FALSE)*G349/VLOOKUP(F349,'거래소 최저가'!A:D,4,FALSE)),"")</f>
        <v/>
      </c>
      <c r="I349" s="2" t="str">
        <f t="shared" si="46"/>
        <v/>
      </c>
      <c r="N349" s="1" t="str">
        <f t="shared" si="47"/>
        <v/>
      </c>
    </row>
    <row r="350" spans="8:14">
      <c r="H350" s="2" t="str">
        <f>IFERROR(IF(F350="골드",G350,VLOOKUP(F350,'거래소 최저가'!A:B,2,FALSE)*G350/VLOOKUP(F350,'거래소 최저가'!A:D,4,FALSE)),"")</f>
        <v/>
      </c>
      <c r="I350" s="2" t="str">
        <f t="shared" si="46"/>
        <v/>
      </c>
      <c r="N350" s="1" t="str">
        <f t="shared" si="47"/>
        <v/>
      </c>
    </row>
    <row r="351" spans="8:14">
      <c r="H351" s="2" t="str">
        <f>IFERROR(IF(F351="골드",G351,VLOOKUP(F351,'거래소 최저가'!A:B,2,FALSE)*G351/VLOOKUP(F351,'거래소 최저가'!A:D,4,FALSE)),"")</f>
        <v/>
      </c>
      <c r="I351" s="2" t="str">
        <f t="shared" si="46"/>
        <v/>
      </c>
      <c r="N351" s="1" t="str">
        <f t="shared" si="47"/>
        <v/>
      </c>
    </row>
    <row r="352" spans="8:14">
      <c r="H352" s="2" t="str">
        <f>IFERROR(IF(F352="골드",G352,VLOOKUP(F352,'거래소 최저가'!A:B,2,FALSE)*G352/VLOOKUP(F352,'거래소 최저가'!A:D,4,FALSE)),"")</f>
        <v/>
      </c>
      <c r="I352" s="2" t="str">
        <f t="shared" si="46"/>
        <v/>
      </c>
      <c r="N352" s="1" t="str">
        <f t="shared" si="47"/>
        <v/>
      </c>
    </row>
    <row r="353" spans="8:14">
      <c r="H353" s="2" t="str">
        <f>IFERROR(IF(F353="골드",G353,VLOOKUP(F353,'거래소 최저가'!A:B,2,FALSE)*G353/VLOOKUP(F353,'거래소 최저가'!A:D,4,FALSE)),"")</f>
        <v/>
      </c>
      <c r="I353" s="2" t="str">
        <f t="shared" si="46"/>
        <v/>
      </c>
      <c r="N353" s="1" t="str">
        <f t="shared" si="47"/>
        <v/>
      </c>
    </row>
    <row r="354" spans="8:14">
      <c r="H354" s="2" t="str">
        <f>IFERROR(IF(F354="골드",G354,VLOOKUP(F354,'거래소 최저가'!A:B,2,FALSE)*G354/VLOOKUP(F354,'거래소 최저가'!A:D,4,FALSE)),"")</f>
        <v/>
      </c>
      <c r="I354" s="2" t="str">
        <f t="shared" si="46"/>
        <v/>
      </c>
      <c r="N354" s="1" t="str">
        <f t="shared" si="47"/>
        <v/>
      </c>
    </row>
    <row r="355" spans="8:14">
      <c r="H355" s="2" t="str">
        <f>IFERROR(IF(F355="골드",G355,VLOOKUP(F355,'거래소 최저가'!A:B,2,FALSE)*G355/VLOOKUP(F355,'거래소 최저가'!A:D,4,FALSE)),"")</f>
        <v/>
      </c>
      <c r="I355" s="2" t="str">
        <f t="shared" si="46"/>
        <v/>
      </c>
      <c r="N355" s="1" t="str">
        <f t="shared" si="47"/>
        <v/>
      </c>
    </row>
    <row r="356" spans="8:14">
      <c r="H356" s="2" t="str">
        <f>IFERROR(IF(F356="골드",G356,VLOOKUP(F356,'거래소 최저가'!A:B,2,FALSE)*G356/VLOOKUP(F356,'거래소 최저가'!A:D,4,FALSE)),"")</f>
        <v/>
      </c>
      <c r="I356" s="2" t="str">
        <f t="shared" si="46"/>
        <v/>
      </c>
      <c r="N356" s="1" t="str">
        <f t="shared" si="47"/>
        <v/>
      </c>
    </row>
    <row r="357" spans="8:14">
      <c r="H357" s="2" t="str">
        <f>IFERROR(IF(F357="골드",G357,VLOOKUP(F357,'거래소 최저가'!A:B,2,FALSE)*G357/VLOOKUP(F357,'거래소 최저가'!A:D,4,FALSE)),"")</f>
        <v/>
      </c>
      <c r="I357" s="2" t="str">
        <f t="shared" si="46"/>
        <v/>
      </c>
    </row>
    <row r="358" spans="8:14">
      <c r="H358" s="2" t="str">
        <f>IFERROR(IF(F358="골드",G358,VLOOKUP(F358,'거래소 최저가'!A:B,2,FALSE)*G358/VLOOKUP(F358,'거래소 최저가'!A:D,4,FALSE)),"")</f>
        <v/>
      </c>
      <c r="I358" s="2" t="str">
        <f t="shared" si="46"/>
        <v/>
      </c>
    </row>
    <row r="359" spans="8:14">
      <c r="H359" s="2" t="str">
        <f>IFERROR(IF(F359="골드",G359,VLOOKUP(F359,'거래소 최저가'!A:B,2,FALSE)*G359/VLOOKUP(F359,'거래소 최저가'!A:D,4,FALSE)),"")</f>
        <v/>
      </c>
      <c r="I359" s="2" t="str">
        <f t="shared" si="46"/>
        <v/>
      </c>
    </row>
    <row r="360" spans="8:14">
      <c r="H360" s="2" t="str">
        <f>IFERROR(IF(F360="골드",G360,VLOOKUP(F360,'거래소 최저가'!A:B,2,FALSE)*G360/VLOOKUP(F360,'거래소 최저가'!A:D,4,FALSE)),"")</f>
        <v/>
      </c>
      <c r="I360" s="2" t="str">
        <f t="shared" si="46"/>
        <v/>
      </c>
    </row>
    <row r="361" spans="8:14">
      <c r="H361" s="2" t="str">
        <f>IFERROR(IF(F361="골드",G361,VLOOKUP(F361,'거래소 최저가'!A:B,2,FALSE)*G361/VLOOKUP(F361,'거래소 최저가'!A:D,4,FALSE)),"")</f>
        <v/>
      </c>
      <c r="I361" s="2" t="str">
        <f t="shared" si="46"/>
        <v/>
      </c>
    </row>
    <row r="362" spans="8:14">
      <c r="H362" s="2" t="str">
        <f>IFERROR(IF(F362="골드",G362,VLOOKUP(F362,'거래소 최저가'!A:B,2,FALSE)*G362/VLOOKUP(F362,'거래소 최저가'!A:D,4,FALSE)),"")</f>
        <v/>
      </c>
      <c r="I362" s="2" t="str">
        <f t="shared" si="46"/>
        <v/>
      </c>
    </row>
    <row r="363" spans="8:14">
      <c r="H363" s="2" t="str">
        <f>IFERROR(IF(F363="골드",G363,VLOOKUP(F363,'거래소 최저가'!A:B,2,FALSE)*G363/VLOOKUP(F363,'거래소 최저가'!A:D,4,FALSE)),"")</f>
        <v/>
      </c>
      <c r="I363" s="2" t="str">
        <f t="shared" si="46"/>
        <v/>
      </c>
    </row>
    <row r="364" spans="8:14">
      <c r="H364" s="2" t="str">
        <f>IFERROR(IF(F364="골드",G364,VLOOKUP(F364,'거래소 최저가'!A:B,2,FALSE)*G364/VLOOKUP(F364,'거래소 최저가'!A:D,4,FALSE)),"")</f>
        <v/>
      </c>
      <c r="I364" s="2" t="str">
        <f t="shared" si="46"/>
        <v/>
      </c>
    </row>
    <row r="365" spans="8:14">
      <c r="H365" s="2" t="str">
        <f>IFERROR(IF(F365="골드",G365,VLOOKUP(F365,'거래소 최저가'!A:B,2,FALSE)*G365/VLOOKUP(F365,'거래소 최저가'!A:D,4,FALSE)),"")</f>
        <v/>
      </c>
      <c r="I365" s="2" t="str">
        <f t="shared" si="46"/>
        <v/>
      </c>
    </row>
    <row r="366" spans="8:14">
      <c r="H366" s="2" t="str">
        <f>IFERROR(IF(F366="골드",G366,VLOOKUP(F366,'거래소 최저가'!A:B,2,FALSE)*G366/VLOOKUP(F366,'거래소 최저가'!A:D,4,FALSE)),"")</f>
        <v/>
      </c>
      <c r="I366" s="2" t="str">
        <f t="shared" si="46"/>
        <v/>
      </c>
    </row>
    <row r="367" spans="8:14">
      <c r="H367" s="2" t="str">
        <f>IFERROR(IF(F367="골드",G367,VLOOKUP(F367,'거래소 최저가'!A:B,2,FALSE)*G367/VLOOKUP(F367,'거래소 최저가'!A:D,4,FALSE)),"")</f>
        <v/>
      </c>
      <c r="I367" s="2" t="str">
        <f t="shared" si="46"/>
        <v/>
      </c>
    </row>
    <row r="368" spans="8:14">
      <c r="H368" s="2" t="str">
        <f>IFERROR(IF(F368="골드",G368,VLOOKUP(F368,'거래소 최저가'!A:B,2,FALSE)*G368/VLOOKUP(F368,'거래소 최저가'!A:D,4,FALSE)),"")</f>
        <v/>
      </c>
      <c r="I368" s="2" t="str">
        <f t="shared" si="46"/>
        <v/>
      </c>
    </row>
    <row r="369" spans="8:9">
      <c r="H369" s="2" t="str">
        <f>IFERROR(IF(F369="골드",G369,VLOOKUP(F369,'거래소 최저가'!A:B,2,FALSE)*G369/VLOOKUP(F369,'거래소 최저가'!A:D,4,FALSE)),"")</f>
        <v/>
      </c>
      <c r="I369" s="2" t="str">
        <f t="shared" si="46"/>
        <v/>
      </c>
    </row>
    <row r="370" spans="8:9">
      <c r="H370" s="2" t="str">
        <f>IFERROR(IF(F370="골드",G370,VLOOKUP(F370,'거래소 최저가'!A:B,2,FALSE)*G370/VLOOKUP(F370,'거래소 최저가'!A:D,4,FALSE)),"")</f>
        <v/>
      </c>
      <c r="I370" s="2" t="str">
        <f t="shared" si="46"/>
        <v/>
      </c>
    </row>
    <row r="371" spans="8:9">
      <c r="H371" s="2" t="str">
        <f>IFERROR(IF(F371="골드",G371,VLOOKUP(F371,'거래소 최저가'!A:B,2,FALSE)*G371/VLOOKUP(F371,'거래소 최저가'!A:D,4,FALSE)),"")</f>
        <v/>
      </c>
      <c r="I371" s="2" t="str">
        <f t="shared" si="46"/>
        <v/>
      </c>
    </row>
    <row r="372" spans="8:9">
      <c r="H372" s="2" t="str">
        <f>IFERROR(IF(F372="골드",G372,VLOOKUP(F372,'거래소 최저가'!A:B,2,FALSE)*G372/VLOOKUP(F372,'거래소 최저가'!A:D,4,FALSE)),"")</f>
        <v/>
      </c>
      <c r="I372" s="2" t="str">
        <f t="shared" si="46"/>
        <v/>
      </c>
    </row>
    <row r="373" spans="8:9">
      <c r="H373" s="2" t="str">
        <f>IFERROR(IF(F373="골드",G373,VLOOKUP(F373,'거래소 최저가'!A:B,2,FALSE)*G373/VLOOKUP(F373,'거래소 최저가'!A:D,4,FALSE)),"")</f>
        <v/>
      </c>
      <c r="I373" s="2" t="str">
        <f t="shared" si="46"/>
        <v/>
      </c>
    </row>
    <row r="374" spans="8:9">
      <c r="H374" s="2" t="str">
        <f>IFERROR(IF(F374="골드",G374,VLOOKUP(F374,'거래소 최저가'!A:B,2,FALSE)*G374/VLOOKUP(F374,'거래소 최저가'!A:D,4,FALSE)),"")</f>
        <v/>
      </c>
      <c r="I374" s="2" t="str">
        <f t="shared" si="46"/>
        <v/>
      </c>
    </row>
    <row r="375" spans="8:9">
      <c r="H375" s="2" t="str">
        <f>IFERROR(IF(F375="골드",G375,VLOOKUP(F375,'거래소 최저가'!A:B,2,FALSE)*G375/VLOOKUP(F375,'거래소 최저가'!A:D,4,FALSE)),"")</f>
        <v/>
      </c>
      <c r="I375" s="2" t="str">
        <f t="shared" si="46"/>
        <v/>
      </c>
    </row>
    <row r="376" spans="8:9">
      <c r="H376" s="2" t="str">
        <f>IFERROR(IF(F376="골드",G376,VLOOKUP(F376,'거래소 최저가'!A:B,2,FALSE)*G376/VLOOKUP(F376,'거래소 최저가'!A:D,4,FALSE)),"")</f>
        <v/>
      </c>
      <c r="I376" s="2" t="str">
        <f t="shared" si="46"/>
        <v/>
      </c>
    </row>
    <row r="377" spans="8:9">
      <c r="H377" s="2" t="str">
        <f>IFERROR(IF(F377="골드",G377,VLOOKUP(F377,'거래소 최저가'!A:B,2,FALSE)*G377/VLOOKUP(F377,'거래소 최저가'!A:D,4,FALSE)),"")</f>
        <v/>
      </c>
      <c r="I377" s="2" t="str">
        <f t="shared" si="46"/>
        <v/>
      </c>
    </row>
    <row r="378" spans="8:9">
      <c r="H378" s="2" t="str">
        <f>IFERROR(IF(F378="골드",G378,VLOOKUP(F378,'거래소 최저가'!A:B,2,FALSE)*G378/VLOOKUP(F378,'거래소 최저가'!A:D,4,FALSE)),"")</f>
        <v/>
      </c>
      <c r="I378" s="2" t="str">
        <f t="shared" si="46"/>
        <v/>
      </c>
    </row>
    <row r="379" spans="8:9">
      <c r="H379" s="2" t="str">
        <f>IFERROR(IF(F379="골드",G379,VLOOKUP(F379,'거래소 최저가'!A:B,2,FALSE)*G379/VLOOKUP(F379,'거래소 최저가'!A:D,4,FALSE)),"")</f>
        <v/>
      </c>
      <c r="I379" s="2" t="str">
        <f t="shared" si="46"/>
        <v/>
      </c>
    </row>
    <row r="380" spans="8:9">
      <c r="H380" s="2" t="str">
        <f>IFERROR(IF(F380="골드",G380,VLOOKUP(F380,'거래소 최저가'!A:B,2,FALSE)*G380/VLOOKUP(F380,'거래소 최저가'!A:D,4,FALSE)),"")</f>
        <v/>
      </c>
      <c r="I380" s="2" t="str">
        <f t="shared" si="46"/>
        <v/>
      </c>
    </row>
    <row r="381" spans="8:9">
      <c r="H381" s="2" t="str">
        <f>IFERROR(IF(F381="골드",G381,VLOOKUP(F381,'거래소 최저가'!A:B,2,FALSE)*G381/VLOOKUP(F381,'거래소 최저가'!A:D,4,FALSE)),"")</f>
        <v/>
      </c>
    </row>
    <row r="382" spans="8:9">
      <c r="H382" s="2" t="str">
        <f>IFERROR(IF(F382="골드",G382,VLOOKUP(F382,'거래소 최저가'!A:B,2,FALSE)*G382/VLOOKUP(F382,'거래소 최저가'!A:D,4,FALSE)),"")</f>
        <v/>
      </c>
    </row>
    <row r="383" spans="8:9">
      <c r="H383" s="2" t="str">
        <f>IFERROR(IF(F383="골드",G383,VLOOKUP(F383,'거래소 최저가'!A:B,2,FALSE)*G383/VLOOKUP(F383,'거래소 최저가'!A:D,4,FALSE)),"")</f>
        <v/>
      </c>
    </row>
    <row r="384" spans="8:9">
      <c r="H384" s="2" t="str">
        <f>IFERROR(IF(F384="골드",G384,VLOOKUP(F384,'거래소 최저가'!A:B,2,FALSE)*G384/VLOOKUP(F384,'거래소 최저가'!A:D,4,FALSE)),"")</f>
        <v/>
      </c>
    </row>
    <row r="385" spans="8:8">
      <c r="H385" s="2" t="str">
        <f>IFERROR(IF(F385="골드",G385,VLOOKUP(F385,'거래소 최저가'!A:B,2,FALSE)*G385/VLOOKUP(F385,'거래소 최저가'!A:D,4,FALSE)),"")</f>
        <v/>
      </c>
    </row>
    <row r="386" spans="8:8">
      <c r="H386" s="2" t="str">
        <f>IFERROR(IF(F386="골드",G386,VLOOKUP(F386,'거래소 최저가'!A:B,2,FALSE)*G386/VLOOKUP(F386,'거래소 최저가'!A:D,4,FALSE)),"")</f>
        <v/>
      </c>
    </row>
    <row r="387" spans="8:8">
      <c r="H387" s="2" t="str">
        <f>IFERROR(IF(F387="골드",G387,VLOOKUP(F387,'거래소 최저가'!A:B,2,FALSE)*G387/VLOOKUP(F387,'거래소 최저가'!A:D,4,FALSE)),"")</f>
        <v/>
      </c>
    </row>
    <row r="388" spans="8:8">
      <c r="H388" s="2" t="str">
        <f>IFERROR(IF(F388="골드",G388,VLOOKUP(F388,'거래소 최저가'!A:B,2,FALSE)*G388/VLOOKUP(F388,'거래소 최저가'!A:D,4,FALSE)),"")</f>
        <v/>
      </c>
    </row>
    <row r="389" spans="8:8">
      <c r="H389" s="2" t="str">
        <f>IFERROR(IF(F389="골드",G389,VLOOKUP(F389,'거래소 최저가'!A:B,2,FALSE)*G389/VLOOKUP(F389,'거래소 최저가'!A:D,4,FALSE)),"")</f>
        <v/>
      </c>
    </row>
    <row r="390" spans="8:8">
      <c r="H390" s="2" t="str">
        <f>IFERROR(IF(F390="골드",G390,VLOOKUP(F390,'거래소 최저가'!A:B,2,FALSE)*G390/VLOOKUP(F390,'거래소 최저가'!A:D,4,FALSE)),"")</f>
        <v/>
      </c>
    </row>
    <row r="391" spans="8:8">
      <c r="H391" s="2" t="str">
        <f>IFERROR(IF(F391="골드",G391,VLOOKUP(F391,'거래소 최저가'!A:B,2,FALSE)*G391/VLOOKUP(F391,'거래소 최저가'!A:D,4,FALSE)),"")</f>
        <v/>
      </c>
    </row>
    <row r="392" spans="8:8">
      <c r="H392" s="2" t="str">
        <f>IFERROR(IF(F392="골드",G392,VLOOKUP(F392,'거래소 최저가'!A:B,2,FALSE)*G392/VLOOKUP(F392,'거래소 최저가'!A:D,4,FALSE)),"")</f>
        <v/>
      </c>
    </row>
    <row r="393" spans="8:8">
      <c r="H393" s="2" t="str">
        <f>IFERROR(IF(F393="골드",G393,VLOOKUP(F393,'거래소 최저가'!A:B,2,FALSE)*G393/VLOOKUP(F393,'거래소 최저가'!A:D,4,FALSE)),"")</f>
        <v/>
      </c>
    </row>
    <row r="394" spans="8:8">
      <c r="H394" s="2" t="str">
        <f>IFERROR(IF(F394="골드",G394,VLOOKUP(F394,'거래소 최저가'!A:B,2,FALSE)*G394/VLOOKUP(F394,'거래소 최저가'!A:D,4,FALSE)),"")</f>
        <v/>
      </c>
    </row>
    <row r="395" spans="8:8">
      <c r="H395" s="2" t="str">
        <f>IFERROR(IF(F395="골드",G395,VLOOKUP(F395,'거래소 최저가'!A:B,2,FALSE)*G395/VLOOKUP(F395,'거래소 최저가'!A:D,4,FALSE)),"")</f>
        <v/>
      </c>
    </row>
    <row r="396" spans="8:8">
      <c r="H396" s="2" t="str">
        <f>IFERROR(IF(F396="골드",G396,VLOOKUP(F396,'거래소 최저가'!A:B,2,FALSE)*G396/VLOOKUP(F396,'거래소 최저가'!A:D,4,FALSE)),"")</f>
        <v/>
      </c>
    </row>
    <row r="397" spans="8:8">
      <c r="H397" s="2" t="str">
        <f>IFERROR(IF(F397="골드",G397,VLOOKUP(F397,'거래소 최저가'!A:B,2,FALSE)*G397/VLOOKUP(F397,'거래소 최저가'!A:D,4,FALSE)),"")</f>
        <v/>
      </c>
    </row>
    <row r="398" spans="8:8">
      <c r="H398" s="2" t="str">
        <f>IFERROR(IF(F398="골드",G398,VLOOKUP(F398,'거래소 최저가'!A:B,2,FALSE)*G398/VLOOKUP(F398,'거래소 최저가'!A:D,4,FALSE)),"")</f>
        <v/>
      </c>
    </row>
    <row r="399" spans="8:8">
      <c r="H399" s="2" t="str">
        <f>IFERROR(IF(F399="골드",G399,VLOOKUP(F399,'거래소 최저가'!A:B,2,FALSE)*G399/VLOOKUP(F399,'거래소 최저가'!A:D,4,FALSE)),"")</f>
        <v/>
      </c>
    </row>
    <row r="400" spans="8:8">
      <c r="H400" s="2" t="str">
        <f>IFERROR(IF(F400="골드",G400,VLOOKUP(F400,'거래소 최저가'!A:B,2,FALSE)*G400/VLOOKUP(F400,'거래소 최저가'!A:D,4,FALSE)),"")</f>
        <v/>
      </c>
    </row>
    <row r="401" spans="8:8">
      <c r="H401" s="2" t="str">
        <f>IFERROR(IF(F401="골드",G401,VLOOKUP(F401,'거래소 최저가'!A:B,2,FALSE)*G401/VLOOKUP(F401,'거래소 최저가'!A:D,4,FALSE)),"")</f>
        <v/>
      </c>
    </row>
    <row r="402" spans="8:8">
      <c r="H402" s="2" t="str">
        <f>IFERROR(IF(F402="골드",G402,VLOOKUP(F402,'거래소 최저가'!A:B,2,FALSE)*G402/VLOOKUP(F402,'거래소 최저가'!A:D,4,FALSE)),"")</f>
        <v/>
      </c>
    </row>
    <row r="403" spans="8:8">
      <c r="H403" s="2" t="str">
        <f>IFERROR(IF(F403="골드",G403,VLOOKUP(F403,'거래소 최저가'!A:B,2,FALSE)*G403/VLOOKUP(F403,'거래소 최저가'!A:D,4,FALSE)),"")</f>
        <v/>
      </c>
    </row>
    <row r="404" spans="8:8">
      <c r="H404" s="2" t="str">
        <f>IFERROR(IF(F404="골드",G404,VLOOKUP(F404,'거래소 최저가'!A:B,2,FALSE)*G404/VLOOKUP(F404,'거래소 최저가'!A:D,4,FALSE)),"")</f>
        <v/>
      </c>
    </row>
    <row r="405" spans="8:8">
      <c r="H405" s="2" t="str">
        <f>IFERROR(IF(F405="골드",G405,VLOOKUP(F405,'거래소 최저가'!A:B,2,FALSE)*G405/VLOOKUP(F405,'거래소 최저가'!A:D,4,FALSE)),"")</f>
        <v/>
      </c>
    </row>
    <row r="406" spans="8:8">
      <c r="H406" s="2" t="str">
        <f>IFERROR(IF(F406="골드",G406,VLOOKUP(F406,'거래소 최저가'!A:B,2,FALSE)*G406/VLOOKUP(F406,'거래소 최저가'!A:D,4,FALSE)),"")</f>
        <v/>
      </c>
    </row>
    <row r="407" spans="8:8">
      <c r="H407" s="2" t="str">
        <f>IFERROR(IF(F407="골드",G407,VLOOKUP(F407,'거래소 최저가'!A:B,2,FALSE)*G407/VLOOKUP(F407,'거래소 최저가'!A:D,4,FALSE)),"")</f>
        <v/>
      </c>
    </row>
    <row r="408" spans="8:8">
      <c r="H408" s="2" t="str">
        <f>IFERROR(IF(F408="골드",G408,VLOOKUP(F408,'거래소 최저가'!A:B,2,FALSE)*G408/VLOOKUP(F408,'거래소 최저가'!A:D,4,FALSE)),"")</f>
        <v/>
      </c>
    </row>
    <row r="409" spans="8:8">
      <c r="H409" s="2" t="str">
        <f>IFERROR(IF(F409="골드",G409,VLOOKUP(F409,'거래소 최저가'!A:B,2,FALSE)*G409/VLOOKUP(F409,'거래소 최저가'!A:D,4,FALSE)),"")</f>
        <v/>
      </c>
    </row>
    <row r="410" spans="8:8">
      <c r="H410" s="2" t="str">
        <f>IFERROR(IF(F410="골드",G410,VLOOKUP(F410,'거래소 최저가'!A:B,2,FALSE)*G410/VLOOKUP(F410,'거래소 최저가'!A:D,4,FALSE)),"")</f>
        <v/>
      </c>
    </row>
    <row r="411" spans="8:8">
      <c r="H411" s="2" t="str">
        <f>IFERROR(IF(F411="골드",G411,VLOOKUP(F411,'거래소 최저가'!A:B,2,FALSE)*G411/VLOOKUP(F411,'거래소 최저가'!A:D,4,FALSE)),"")</f>
        <v/>
      </c>
    </row>
    <row r="412" spans="8:8">
      <c r="H412" s="2" t="str">
        <f>IFERROR(IF(F412="골드",G412,VLOOKUP(F412,'거래소 최저가'!A:B,2,FALSE)*G412/VLOOKUP(F412,'거래소 최저가'!A:D,4,FALSE)),"")</f>
        <v/>
      </c>
    </row>
    <row r="413" spans="8:8">
      <c r="H413" s="2" t="str">
        <f>IFERROR(IF(F413="골드",G413,VLOOKUP(F413,'거래소 최저가'!A:B,2,FALSE)*G413/VLOOKUP(F413,'거래소 최저가'!A:D,4,FALSE)),"")</f>
        <v/>
      </c>
    </row>
    <row r="414" spans="8:8">
      <c r="H414" s="2" t="str">
        <f>IFERROR(IF(F414="골드",G414,VLOOKUP(F414,'거래소 최저가'!A:B,2,FALSE)*G414/VLOOKUP(F414,'거래소 최저가'!A:D,4,FALSE)),"")</f>
        <v/>
      </c>
    </row>
    <row r="415" spans="8:8">
      <c r="H415" s="2" t="str">
        <f>IFERROR(IF(F415="골드",G415,VLOOKUP(F415,'거래소 최저가'!A:B,2,FALSE)*G415/VLOOKUP(F415,'거래소 최저가'!A:D,4,FALSE)),"")</f>
        <v/>
      </c>
    </row>
    <row r="416" spans="8:8">
      <c r="H416" s="2" t="str">
        <f>IFERROR(IF(F416="골드",G416,VLOOKUP(F416,'거래소 최저가'!A:B,2,FALSE)*G416/VLOOKUP(F416,'거래소 최저가'!A:D,4,FALSE)),"")</f>
        <v/>
      </c>
    </row>
    <row r="417" spans="8:8">
      <c r="H417" s="2" t="str">
        <f>IFERROR(IF(F417="골드",G417,VLOOKUP(F417,'거래소 최저가'!A:B,2,FALSE)*G417/VLOOKUP(F417,'거래소 최저가'!A:D,4,FALSE)),"")</f>
        <v/>
      </c>
    </row>
    <row r="418" spans="8:8">
      <c r="H418" s="2" t="str">
        <f>IFERROR(IF(F418="골드",G418,VLOOKUP(F418,'거래소 최저가'!A:B,2,FALSE)*G418/VLOOKUP(F418,'거래소 최저가'!A:D,4,FALSE)),"")</f>
        <v/>
      </c>
    </row>
    <row r="419" spans="8:8">
      <c r="H419" s="2" t="str">
        <f>IFERROR(IF(F419="골드",G419,VLOOKUP(F419,'거래소 최저가'!A:B,2,FALSE)*G419/VLOOKUP(F419,'거래소 최저가'!A:D,4,FALSE)),"")</f>
        <v/>
      </c>
    </row>
    <row r="420" spans="8:8">
      <c r="H420" s="2" t="str">
        <f>IFERROR(IF(F420="골드",G420,VLOOKUP(F420,'거래소 최저가'!A:B,2,FALSE)*G420/VLOOKUP(F420,'거래소 최저가'!A:D,4,FALSE)),"")</f>
        <v/>
      </c>
    </row>
    <row r="421" spans="8:8">
      <c r="H421" s="2" t="str">
        <f>IFERROR(IF(F421="골드",G421,VLOOKUP(F421,'거래소 최저가'!A:B,2,FALSE)*G421/VLOOKUP(F421,'거래소 최저가'!A:D,4,FALSE)),"")</f>
        <v/>
      </c>
    </row>
    <row r="422" spans="8:8">
      <c r="H422" s="2" t="str">
        <f>IFERROR(IF(F422="골드",G422,VLOOKUP(F422,'거래소 최저가'!A:B,2,FALSE)*G422/VLOOKUP(F422,'거래소 최저가'!A:D,4,FALSE)),"")</f>
        <v/>
      </c>
    </row>
    <row r="423" spans="8:8">
      <c r="H423" s="2" t="str">
        <f>IFERROR(IF(F423="골드",G423,VLOOKUP(F423,'거래소 최저가'!A:B,2,FALSE)*G423/VLOOKUP(F423,'거래소 최저가'!A:D,4,FALSE)),"")</f>
        <v/>
      </c>
    </row>
    <row r="424" spans="8:8">
      <c r="H424" s="2" t="str">
        <f>IFERROR(IF(F424="골드",G424,VLOOKUP(F424,'거래소 최저가'!A:B,2,FALSE)*G424/VLOOKUP(F424,'거래소 최저가'!A:D,4,FALSE)),"")</f>
        <v/>
      </c>
    </row>
    <row r="425" spans="8:8">
      <c r="H425" s="2" t="str">
        <f>IFERROR(IF(F425="골드",G425,VLOOKUP(F425,'거래소 최저가'!A:B,2,FALSE)*G425/VLOOKUP(F425,'거래소 최저가'!A:D,4,FALSE)),"")</f>
        <v/>
      </c>
    </row>
    <row r="426" spans="8:8">
      <c r="H426" s="2" t="str">
        <f>IFERROR(IF(F426="골드",G426,VLOOKUP(F426,'거래소 최저가'!A:B,2,FALSE)*G426/VLOOKUP(F426,'거래소 최저가'!A:D,4,FALSE)),"")</f>
        <v/>
      </c>
    </row>
    <row r="427" spans="8:8">
      <c r="H427" s="2" t="str">
        <f>IFERROR(IF(F427="골드",G427,VLOOKUP(F427,'거래소 최저가'!A:B,2,FALSE)*G427/VLOOKUP(F427,'거래소 최저가'!A:D,4,FALSE)),"")</f>
        <v/>
      </c>
    </row>
    <row r="428" spans="8:8">
      <c r="H428" s="2" t="str">
        <f>IFERROR(IF(F428="골드",G428,VLOOKUP(F428,'거래소 최저가'!A:B,2,FALSE)*G428/VLOOKUP(F428,'거래소 최저가'!A:D,4,FALSE)),"")</f>
        <v/>
      </c>
    </row>
    <row r="429" spans="8:8">
      <c r="H429" s="2" t="str">
        <f>IFERROR(IF(F429="골드",G429,VLOOKUP(F429,'거래소 최저가'!A:B,2,FALSE)*G429/VLOOKUP(F429,'거래소 최저가'!A:D,4,FALSE)),"")</f>
        <v/>
      </c>
    </row>
    <row r="430" spans="8:8">
      <c r="H430" s="2" t="str">
        <f>IFERROR(IF(F430="골드",G430,VLOOKUP(F430,'거래소 최저가'!A:B,2,FALSE)*G430/VLOOKUP(F430,'거래소 최저가'!A:D,4,FALSE)),"")</f>
        <v/>
      </c>
    </row>
    <row r="431" spans="8:8">
      <c r="H431" s="2" t="str">
        <f>IFERROR(IF(F431="골드",G431,VLOOKUP(F431,'거래소 최저가'!A:B,2,FALSE)*G431/VLOOKUP(F431,'거래소 최저가'!A:D,4,FALSE)),"")</f>
        <v/>
      </c>
    </row>
    <row r="432" spans="8:8">
      <c r="H432" s="2" t="str">
        <f>IFERROR(IF(F432="골드",G432,VLOOKUP(F432,'거래소 최저가'!A:B,2,FALSE)*G432/VLOOKUP(F432,'거래소 최저가'!A:D,4,FALSE)),"")</f>
        <v/>
      </c>
    </row>
    <row r="433" spans="8:8">
      <c r="H433" s="2" t="str">
        <f>IFERROR(IF(F433="골드",G433,VLOOKUP(F433,'거래소 최저가'!A:B,2,FALSE)*G433/VLOOKUP(F433,'거래소 최저가'!A:D,4,FALSE)),"")</f>
        <v/>
      </c>
    </row>
    <row r="434" spans="8:8">
      <c r="H434" s="2" t="str">
        <f>IFERROR(IF(F434="골드",G434,VLOOKUP(F434,'거래소 최저가'!A:B,2,FALSE)*G434/VLOOKUP(F434,'거래소 최저가'!A:D,4,FALSE)),"")</f>
        <v/>
      </c>
    </row>
    <row r="435" spans="8:8">
      <c r="H435" s="2" t="str">
        <f>IFERROR(IF(F435="골드",G435,VLOOKUP(F435,'거래소 최저가'!A:B,2,FALSE)*G435/VLOOKUP(F435,'거래소 최저가'!A:D,4,FALSE)),"")</f>
        <v/>
      </c>
    </row>
    <row r="436" spans="8:8">
      <c r="H436" s="2" t="str">
        <f>IFERROR(IF(F436="골드",G436,VLOOKUP(F436,'거래소 최저가'!A:B,2,FALSE)*G436/VLOOKUP(F436,'거래소 최저가'!A:D,4,FALSE)),"")</f>
        <v/>
      </c>
    </row>
    <row r="437" spans="8:8">
      <c r="H437" s="2" t="str">
        <f>IFERROR(IF(F437="골드",G437,VLOOKUP(F437,'거래소 최저가'!A:B,2,FALSE)*G437/VLOOKUP(F437,'거래소 최저가'!A:D,4,FALSE)),"")</f>
        <v/>
      </c>
    </row>
    <row r="438" spans="8:8">
      <c r="H438" s="2" t="str">
        <f>IFERROR(IF(F438="골드",G438,VLOOKUP(F438,'거래소 최저가'!A:B,2,FALSE)*G438/VLOOKUP(F438,'거래소 최저가'!A:D,4,FALSE)),"")</f>
        <v/>
      </c>
    </row>
    <row r="439" spans="8:8">
      <c r="H439" s="2" t="str">
        <f>IFERROR(IF(F439="골드",G439,VLOOKUP(F439,'거래소 최저가'!A:B,2,FALSE)*G439/VLOOKUP(F439,'거래소 최저가'!A:D,4,FALSE)),"")</f>
        <v/>
      </c>
    </row>
    <row r="440" spans="8:8">
      <c r="H440" s="2" t="str">
        <f>IFERROR(IF(F440="골드",G440,VLOOKUP(F440,'거래소 최저가'!A:B,2,FALSE)*G440/VLOOKUP(F440,'거래소 최저가'!A:D,4,FALSE)),"")</f>
        <v/>
      </c>
    </row>
    <row r="441" spans="8:8">
      <c r="H441" s="2" t="str">
        <f>IFERROR(IF(F441="골드",G441,VLOOKUP(F441,'거래소 최저가'!A:B,2,FALSE)*G441/VLOOKUP(F441,'거래소 최저가'!A:D,4,FALSE)),"")</f>
        <v/>
      </c>
    </row>
    <row r="442" spans="8:8">
      <c r="H442" s="2" t="str">
        <f>IFERROR(IF(F442="골드",G442,VLOOKUP(F442,'거래소 최저가'!A:B,2,FALSE)*G442/VLOOKUP(F442,'거래소 최저가'!A:D,4,FALSE)),"")</f>
        <v/>
      </c>
    </row>
    <row r="443" spans="8:8">
      <c r="H443" s="2" t="str">
        <f>IFERROR(IF(F443="골드",G443,VLOOKUP(F443,'거래소 최저가'!A:B,2,FALSE)*G443/VLOOKUP(F443,'거래소 최저가'!A:D,4,FALSE)),"")</f>
        <v/>
      </c>
    </row>
    <row r="444" spans="8:8">
      <c r="H444" s="2" t="str">
        <f>IFERROR(IF(F444="골드",G444,VLOOKUP(F444,'거래소 최저가'!A:B,2,FALSE)*G444/VLOOKUP(F444,'거래소 최저가'!A:D,4,FALSE)),"")</f>
        <v/>
      </c>
    </row>
    <row r="445" spans="8:8">
      <c r="H445" s="2" t="str">
        <f>IFERROR(IF(F445="골드",G445,VLOOKUP(F445,'거래소 최저가'!A:B,2,FALSE)*G445/VLOOKUP(F445,'거래소 최저가'!A:D,4,FALSE)),"")</f>
        <v/>
      </c>
    </row>
    <row r="446" spans="8:8">
      <c r="H446" s="2" t="str">
        <f>IFERROR(IF(F446="골드",G446,VLOOKUP(F446,'거래소 최저가'!A:B,2,FALSE)*G446/VLOOKUP(F446,'거래소 최저가'!A:D,4,FALSE)),"")</f>
        <v/>
      </c>
    </row>
    <row r="447" spans="8:8">
      <c r="H447" s="2" t="str">
        <f>IFERROR(IF(F447="골드",G447,VLOOKUP(F447,'거래소 최저가'!A:B,2,FALSE)*G447/VLOOKUP(F447,'거래소 최저가'!A:D,4,FALSE)),"")</f>
        <v/>
      </c>
    </row>
    <row r="448" spans="8:8">
      <c r="H448" s="2" t="str">
        <f>IFERROR(IF(F448="골드",G448,VLOOKUP(F448,'거래소 최저가'!A:B,2,FALSE)*G448/VLOOKUP(F448,'거래소 최저가'!A:D,4,FALSE)),"")</f>
        <v/>
      </c>
    </row>
    <row r="449" spans="8:8">
      <c r="H449" s="2" t="str">
        <f>IFERROR(IF(F449="골드",G449,VLOOKUP(F449,'거래소 최저가'!A:B,2,FALSE)*G449/VLOOKUP(F449,'거래소 최저가'!A:D,4,FALSE)),"")</f>
        <v/>
      </c>
    </row>
    <row r="450" spans="8:8">
      <c r="H450" s="2" t="str">
        <f>IFERROR(IF(F450="골드",G450,VLOOKUP(F450,'거래소 최저가'!A:B,2,FALSE)*G450/VLOOKUP(F450,'거래소 최저가'!A:D,4,FALSE)),"")</f>
        <v/>
      </c>
    </row>
    <row r="451" spans="8:8">
      <c r="H451" s="2" t="str">
        <f>IFERROR(IF(F451="골드",G451,VLOOKUP(F451,'거래소 최저가'!A:B,2,FALSE)*G451/VLOOKUP(F451,'거래소 최저가'!A:D,4,FALSE)),"")</f>
        <v/>
      </c>
    </row>
    <row r="452" spans="8:8">
      <c r="H452" s="2" t="str">
        <f>IFERROR(IF(F452="골드",G452,VLOOKUP(F452,'거래소 최저가'!A:B,2,FALSE)*G452/VLOOKUP(F452,'거래소 최저가'!A:D,4,FALSE)),"")</f>
        <v/>
      </c>
    </row>
    <row r="453" spans="8:8">
      <c r="H453" s="2" t="str">
        <f>IFERROR(IF(F453="골드",G453,VLOOKUP(F453,'거래소 최저가'!A:B,2,FALSE)*G453/VLOOKUP(F453,'거래소 최저가'!A:D,4,FALSE)),"")</f>
        <v/>
      </c>
    </row>
    <row r="454" spans="8:8">
      <c r="H454" s="2" t="str">
        <f>IFERROR(IF(F454="골드",G454,VLOOKUP(F454,'거래소 최저가'!A:B,2,FALSE)*G454/VLOOKUP(F454,'거래소 최저가'!A:D,4,FALSE)),"")</f>
        <v/>
      </c>
    </row>
    <row r="455" spans="8:8">
      <c r="H455" s="2" t="str">
        <f>IFERROR(IF(F455="골드",G455,VLOOKUP(F455,'거래소 최저가'!A:B,2,FALSE)*G455/VLOOKUP(F455,'거래소 최저가'!A:D,4,FALSE)),"")</f>
        <v/>
      </c>
    </row>
    <row r="456" spans="8:8">
      <c r="H456" s="2" t="str">
        <f>IFERROR(IF(F456="골드",G456,VLOOKUP(F456,'거래소 최저가'!A:B,2,FALSE)*G456/VLOOKUP(F456,'거래소 최저가'!A:D,4,FALSE)),"")</f>
        <v/>
      </c>
    </row>
    <row r="457" spans="8:8">
      <c r="H457" s="2" t="str">
        <f>IFERROR(IF(F457="골드",G457,VLOOKUP(F457,'거래소 최저가'!A:B,2,FALSE)*G457/VLOOKUP(F457,'거래소 최저가'!A:D,4,FALSE)),"")</f>
        <v/>
      </c>
    </row>
    <row r="458" spans="8:8">
      <c r="H458" s="2" t="str">
        <f>IFERROR(IF(F458="골드",G458,VLOOKUP(F458,'거래소 최저가'!A:B,2,FALSE)*G458/VLOOKUP(F458,'거래소 최저가'!A:D,4,FALSE)),"")</f>
        <v/>
      </c>
    </row>
    <row r="459" spans="8:8">
      <c r="H459" s="2" t="str">
        <f>IFERROR(IF(F459="골드",G459,VLOOKUP(F459,'거래소 최저가'!A:B,2,FALSE)*G459/VLOOKUP(F459,'거래소 최저가'!A:D,4,FALSE)),"")</f>
        <v/>
      </c>
    </row>
    <row r="460" spans="8:8">
      <c r="H460" s="2" t="str">
        <f>IFERROR(IF(F460="골드",G460,VLOOKUP(F460,'거래소 최저가'!A:B,2,FALSE)*G460/VLOOKUP(F460,'거래소 최저가'!A:D,4,FALSE)),"")</f>
        <v/>
      </c>
    </row>
    <row r="461" spans="8:8">
      <c r="H461" s="2" t="str">
        <f>IFERROR(IF(F461="골드",G461,VLOOKUP(F461,'거래소 최저가'!A:B,2,FALSE)*G461/VLOOKUP(F461,'거래소 최저가'!A:D,4,FALSE)),"")</f>
        <v/>
      </c>
    </row>
    <row r="462" spans="8:8">
      <c r="H462" s="2" t="str">
        <f>IFERROR(IF(F462="골드",G462,VLOOKUP(F462,'거래소 최저가'!A:B,2,FALSE)*G462/VLOOKUP(F462,'거래소 최저가'!A:D,4,FALSE)),"")</f>
        <v/>
      </c>
    </row>
    <row r="463" spans="8:8">
      <c r="H463" s="2" t="str">
        <f>IFERROR(IF(F463="골드",G463,VLOOKUP(F463,'거래소 최저가'!A:B,2,FALSE)*G463/VLOOKUP(F463,'거래소 최저가'!A:D,4,FALSE)),"")</f>
        <v/>
      </c>
    </row>
    <row r="464" spans="8:8">
      <c r="H464" s="2" t="str">
        <f>IFERROR(IF(F464="골드",G464,VLOOKUP(F464,'거래소 최저가'!A:B,2,FALSE)*G464/VLOOKUP(F464,'거래소 최저가'!A:D,4,FALSE)),"")</f>
        <v/>
      </c>
    </row>
    <row r="465" spans="8:8">
      <c r="H465" s="2" t="str">
        <f>IFERROR(IF(F465="골드",G465,VLOOKUP(F465,'거래소 최저가'!A:B,2,FALSE)*G465/VLOOKUP(F465,'거래소 최저가'!A:D,4,FALSE)),"")</f>
        <v/>
      </c>
    </row>
    <row r="466" spans="8:8">
      <c r="H466" s="2" t="str">
        <f>IFERROR(IF(F466="골드",G466,VLOOKUP(F466,'거래소 최저가'!A:B,2,FALSE)*G466/VLOOKUP(F466,'거래소 최저가'!A:D,4,FALSE)),"")</f>
        <v/>
      </c>
    </row>
    <row r="467" spans="8:8">
      <c r="H467" s="2" t="str">
        <f>IFERROR(IF(F467="골드",G467,VLOOKUP(F467,'거래소 최저가'!A:B,2,FALSE)*G467/VLOOKUP(F467,'거래소 최저가'!A:D,4,FALSE)),"")</f>
        <v/>
      </c>
    </row>
    <row r="468" spans="8:8">
      <c r="H468" s="2" t="str">
        <f>IFERROR(IF(F468="골드",G468,VLOOKUP(F468,'거래소 최저가'!A:B,2,FALSE)*G468/VLOOKUP(F468,'거래소 최저가'!A:D,4,FALSE)),"")</f>
        <v/>
      </c>
    </row>
    <row r="469" spans="8:8">
      <c r="H469" s="2" t="str">
        <f>IFERROR(IF(F469="골드",G469,VLOOKUP(F469,'거래소 최저가'!A:B,2,FALSE)*G469/VLOOKUP(F469,'거래소 최저가'!A:D,4,FALSE)),"")</f>
        <v/>
      </c>
    </row>
    <row r="470" spans="8:8">
      <c r="H470" s="2" t="str">
        <f>IFERROR(IF(F470="골드",G470,VLOOKUP(F470,'거래소 최저가'!A:B,2,FALSE)*G470/VLOOKUP(F470,'거래소 최저가'!A:D,4,FALSE)),"")</f>
        <v/>
      </c>
    </row>
    <row r="471" spans="8:8">
      <c r="H471" s="2" t="str">
        <f>IFERROR(IF(F471="골드",G471,VLOOKUP(F471,'거래소 최저가'!A:B,2,FALSE)*G471/VLOOKUP(F471,'거래소 최저가'!A:D,4,FALSE)),"")</f>
        <v/>
      </c>
    </row>
    <row r="472" spans="8:8">
      <c r="H472" s="2" t="str">
        <f>IFERROR(IF(F472="골드",G472,VLOOKUP(F472,'거래소 최저가'!A:B,2,FALSE)*G472/VLOOKUP(F472,'거래소 최저가'!A:D,4,FALSE)),"")</f>
        <v/>
      </c>
    </row>
    <row r="473" spans="8:8">
      <c r="H473" s="2" t="str">
        <f>IFERROR(IF(F473="골드",G473,VLOOKUP(F473,'거래소 최저가'!A:B,2,FALSE)*G473/VLOOKUP(F473,'거래소 최저가'!A:D,4,FALSE)),"")</f>
        <v/>
      </c>
    </row>
    <row r="474" spans="8:8">
      <c r="H474" s="2" t="str">
        <f>IFERROR(IF(F474="골드",G474,VLOOKUP(F474,'거래소 최저가'!A:B,2,FALSE)*G474/VLOOKUP(F474,'거래소 최저가'!A:D,4,FALSE)),"")</f>
        <v/>
      </c>
    </row>
    <row r="475" spans="8:8">
      <c r="H475" s="2" t="str">
        <f>IFERROR(IF(F475="골드",G475,VLOOKUP(F475,'거래소 최저가'!A:B,2,FALSE)*G475/VLOOKUP(F475,'거래소 최저가'!A:D,4,FALSE)),"")</f>
        <v/>
      </c>
    </row>
    <row r="476" spans="8:8">
      <c r="H476" s="2" t="str">
        <f>IFERROR(IF(F476="골드",G476,VLOOKUP(F476,'거래소 최저가'!A:B,2,FALSE)*G476/VLOOKUP(F476,'거래소 최저가'!A:D,4,FALSE)),"")</f>
        <v/>
      </c>
    </row>
    <row r="477" spans="8:8">
      <c r="H477" s="2" t="str">
        <f>IFERROR(IF(F477="골드",G477,VLOOKUP(F477,'거래소 최저가'!A:B,2,FALSE)*G477/VLOOKUP(F477,'거래소 최저가'!A:D,4,FALSE)),"")</f>
        <v/>
      </c>
    </row>
    <row r="478" spans="8:8">
      <c r="H478" s="2" t="str">
        <f>IFERROR(IF(F478="골드",G478,VLOOKUP(F478,'거래소 최저가'!A:B,2,FALSE)*G478/VLOOKUP(F478,'거래소 최저가'!A:D,4,FALSE)),"")</f>
        <v/>
      </c>
    </row>
  </sheetData>
  <autoFilter ref="A1:N478" xr:uid="{E6870691-A999-4776-8BD6-CA369A97641A}"/>
  <mergeCells count="598">
    <mergeCell ref="P211:P213"/>
    <mergeCell ref="P172:P175"/>
    <mergeCell ref="P176:P181"/>
    <mergeCell ref="P182:P185"/>
    <mergeCell ref="P186:P189"/>
    <mergeCell ref="P190:P193"/>
    <mergeCell ref="P194:P197"/>
    <mergeCell ref="P198:P203"/>
    <mergeCell ref="P204:P207"/>
    <mergeCell ref="P208:P210"/>
    <mergeCell ref="P127:P131"/>
    <mergeCell ref="P132:P136"/>
    <mergeCell ref="P137:P141"/>
    <mergeCell ref="P142:P146"/>
    <mergeCell ref="P147:P151"/>
    <mergeCell ref="P152:P156"/>
    <mergeCell ref="P157:P161"/>
    <mergeCell ref="P162:P166"/>
    <mergeCell ref="P167:P171"/>
    <mergeCell ref="P81:P86"/>
    <mergeCell ref="P87:P92"/>
    <mergeCell ref="P93:P97"/>
    <mergeCell ref="P98:P102"/>
    <mergeCell ref="P103:P107"/>
    <mergeCell ref="P108:P111"/>
    <mergeCell ref="P112:P116"/>
    <mergeCell ref="P117:P121"/>
    <mergeCell ref="P122:P126"/>
    <mergeCell ref="P36:P39"/>
    <mergeCell ref="P40:P43"/>
    <mergeCell ref="P44:P47"/>
    <mergeCell ref="P48:P51"/>
    <mergeCell ref="P52:P55"/>
    <mergeCell ref="P56:P60"/>
    <mergeCell ref="P61:P67"/>
    <mergeCell ref="P68:P74"/>
    <mergeCell ref="P75:P80"/>
    <mergeCell ref="P2:P4"/>
    <mergeCell ref="P5:P9"/>
    <mergeCell ref="P10:P12"/>
    <mergeCell ref="P13:P15"/>
    <mergeCell ref="P16:P19"/>
    <mergeCell ref="P20:P23"/>
    <mergeCell ref="P24:P27"/>
    <mergeCell ref="P28:P31"/>
    <mergeCell ref="P32:P35"/>
    <mergeCell ref="A52:A55"/>
    <mergeCell ref="B52:B55"/>
    <mergeCell ref="C52:C55"/>
    <mergeCell ref="D52:D55"/>
    <mergeCell ref="E52:E55"/>
    <mergeCell ref="I52:I55"/>
    <mergeCell ref="J52:J55"/>
    <mergeCell ref="K52:K55"/>
    <mergeCell ref="A48:A51"/>
    <mergeCell ref="B48:B51"/>
    <mergeCell ref="C48:C51"/>
    <mergeCell ref="D48:D51"/>
    <mergeCell ref="E48:E51"/>
    <mergeCell ref="I48:I51"/>
    <mergeCell ref="J48:J51"/>
    <mergeCell ref="K48:K51"/>
    <mergeCell ref="A44:A47"/>
    <mergeCell ref="B44:B47"/>
    <mergeCell ref="C44:C47"/>
    <mergeCell ref="D44:D47"/>
    <mergeCell ref="I44:I47"/>
    <mergeCell ref="J44:J47"/>
    <mergeCell ref="K44:K47"/>
    <mergeCell ref="L44:L47"/>
    <mergeCell ref="E44:E47"/>
    <mergeCell ref="L132:L136"/>
    <mergeCell ref="N132:N136"/>
    <mergeCell ref="A122:A126"/>
    <mergeCell ref="B122:B126"/>
    <mergeCell ref="C122:C126"/>
    <mergeCell ref="E122:E126"/>
    <mergeCell ref="I122:I126"/>
    <mergeCell ref="L122:L126"/>
    <mergeCell ref="N122:N126"/>
    <mergeCell ref="A127:A131"/>
    <mergeCell ref="B127:B131"/>
    <mergeCell ref="C127:C131"/>
    <mergeCell ref="E127:E131"/>
    <mergeCell ref="I127:I131"/>
    <mergeCell ref="L127:L131"/>
    <mergeCell ref="N127:N131"/>
    <mergeCell ref="N112:N116"/>
    <mergeCell ref="A117:A121"/>
    <mergeCell ref="B117:B121"/>
    <mergeCell ref="C117:C121"/>
    <mergeCell ref="E117:E121"/>
    <mergeCell ref="I117:I121"/>
    <mergeCell ref="L117:L121"/>
    <mergeCell ref="N117:N121"/>
    <mergeCell ref="L98:L102"/>
    <mergeCell ref="L103:L107"/>
    <mergeCell ref="I103:I107"/>
    <mergeCell ref="E103:E107"/>
    <mergeCell ref="C103:C107"/>
    <mergeCell ref="A98:A102"/>
    <mergeCell ref="B98:B102"/>
    <mergeCell ref="C98:C102"/>
    <mergeCell ref="E98:E102"/>
    <mergeCell ref="I98:I102"/>
    <mergeCell ref="A112:A116"/>
    <mergeCell ref="L112:L116"/>
    <mergeCell ref="I112:I116"/>
    <mergeCell ref="E112:E116"/>
    <mergeCell ref="C112:C116"/>
    <mergeCell ref="B112:B116"/>
    <mergeCell ref="N68:N74"/>
    <mergeCell ref="N75:N80"/>
    <mergeCell ref="N81:N86"/>
    <mergeCell ref="N87:N92"/>
    <mergeCell ref="N93:N97"/>
    <mergeCell ref="N56:N60"/>
    <mergeCell ref="N98:N102"/>
    <mergeCell ref="N103:N107"/>
    <mergeCell ref="N108:N111"/>
    <mergeCell ref="N13:N15"/>
    <mergeCell ref="N16:N19"/>
    <mergeCell ref="N20:N23"/>
    <mergeCell ref="N24:N27"/>
    <mergeCell ref="N28:N31"/>
    <mergeCell ref="N32:N35"/>
    <mergeCell ref="N36:N39"/>
    <mergeCell ref="N40:N43"/>
    <mergeCell ref="N61:N67"/>
    <mergeCell ref="N44:N47"/>
    <mergeCell ref="N48:N51"/>
    <mergeCell ref="N52:N55"/>
    <mergeCell ref="I32:I35"/>
    <mergeCell ref="I36:I39"/>
    <mergeCell ref="I40:I43"/>
    <mergeCell ref="A28:A31"/>
    <mergeCell ref="B28:B31"/>
    <mergeCell ref="C28:C31"/>
    <mergeCell ref="E28:E31"/>
    <mergeCell ref="I28:I31"/>
    <mergeCell ref="L40:L43"/>
    <mergeCell ref="L36:L39"/>
    <mergeCell ref="L32:L35"/>
    <mergeCell ref="L28:L31"/>
    <mergeCell ref="A32:A35"/>
    <mergeCell ref="A36:A39"/>
    <mergeCell ref="A40:A43"/>
    <mergeCell ref="B40:B43"/>
    <mergeCell ref="B36:B39"/>
    <mergeCell ref="B32:B35"/>
    <mergeCell ref="C32:C35"/>
    <mergeCell ref="C36:C39"/>
    <mergeCell ref="C40:C43"/>
    <mergeCell ref="E40:E43"/>
    <mergeCell ref="E36:E39"/>
    <mergeCell ref="E32:E35"/>
    <mergeCell ref="I20:I23"/>
    <mergeCell ref="L20:L23"/>
    <mergeCell ref="B24:B27"/>
    <mergeCell ref="E24:E27"/>
    <mergeCell ref="I24:I27"/>
    <mergeCell ref="L24:L27"/>
    <mergeCell ref="A20:A23"/>
    <mergeCell ref="B20:B23"/>
    <mergeCell ref="C20:C23"/>
    <mergeCell ref="E20:E23"/>
    <mergeCell ref="C24:C27"/>
    <mergeCell ref="A24:A27"/>
    <mergeCell ref="K20:K23"/>
    <mergeCell ref="K24:K27"/>
    <mergeCell ref="E13:E15"/>
    <mergeCell ref="A16:A19"/>
    <mergeCell ref="B16:B19"/>
    <mergeCell ref="C16:C19"/>
    <mergeCell ref="A5:A9"/>
    <mergeCell ref="B5:B9"/>
    <mergeCell ref="C5:C9"/>
    <mergeCell ref="I5:I9"/>
    <mergeCell ref="A13:A15"/>
    <mergeCell ref="B13:B15"/>
    <mergeCell ref="C13:C15"/>
    <mergeCell ref="I13:I15"/>
    <mergeCell ref="E16:E19"/>
    <mergeCell ref="I16:I19"/>
    <mergeCell ref="I61:I67"/>
    <mergeCell ref="L68:L74"/>
    <mergeCell ref="I68:I74"/>
    <mergeCell ref="E68:E74"/>
    <mergeCell ref="B61:B67"/>
    <mergeCell ref="C61:C67"/>
    <mergeCell ref="E61:E67"/>
    <mergeCell ref="L56:L60"/>
    <mergeCell ref="A61:A67"/>
    <mergeCell ref="A68:A74"/>
    <mergeCell ref="B68:B74"/>
    <mergeCell ref="C68:C74"/>
    <mergeCell ref="J68:J74"/>
    <mergeCell ref="A81:A86"/>
    <mergeCell ref="B81:B86"/>
    <mergeCell ref="C81:C86"/>
    <mergeCell ref="E81:E86"/>
    <mergeCell ref="I81:I86"/>
    <mergeCell ref="L81:L86"/>
    <mergeCell ref="A75:A80"/>
    <mergeCell ref="B75:B80"/>
    <mergeCell ref="C75:C80"/>
    <mergeCell ref="E75:E80"/>
    <mergeCell ref="I75:I80"/>
    <mergeCell ref="J75:J80"/>
    <mergeCell ref="J81:J86"/>
    <mergeCell ref="I87:I92"/>
    <mergeCell ref="L87:L92"/>
    <mergeCell ref="A93:A97"/>
    <mergeCell ref="B93:B97"/>
    <mergeCell ref="C93:C97"/>
    <mergeCell ref="E93:E97"/>
    <mergeCell ref="I93:I97"/>
    <mergeCell ref="L93:L97"/>
    <mergeCell ref="A87:A92"/>
    <mergeCell ref="B87:B92"/>
    <mergeCell ref="C87:C92"/>
    <mergeCell ref="E87:E92"/>
    <mergeCell ref="K87:K92"/>
    <mergeCell ref="K93:K97"/>
    <mergeCell ref="J87:J92"/>
    <mergeCell ref="J93:J97"/>
    <mergeCell ref="B103:B107"/>
    <mergeCell ref="A103:A107"/>
    <mergeCell ref="L108:L111"/>
    <mergeCell ref="I108:I111"/>
    <mergeCell ref="E108:E111"/>
    <mergeCell ref="C108:C111"/>
    <mergeCell ref="B108:B111"/>
    <mergeCell ref="A108:A111"/>
    <mergeCell ref="A137:A141"/>
    <mergeCell ref="B137:B141"/>
    <mergeCell ref="C137:C141"/>
    <mergeCell ref="E137:E141"/>
    <mergeCell ref="I137:I141"/>
    <mergeCell ref="L137:L141"/>
    <mergeCell ref="J112:J116"/>
    <mergeCell ref="J117:J121"/>
    <mergeCell ref="J122:J126"/>
    <mergeCell ref="J127:J131"/>
    <mergeCell ref="J132:J136"/>
    <mergeCell ref="A132:A136"/>
    <mergeCell ref="B132:B136"/>
    <mergeCell ref="C132:C136"/>
    <mergeCell ref="E132:E136"/>
    <mergeCell ref="I132:I136"/>
    <mergeCell ref="N137:N141"/>
    <mergeCell ref="A142:A146"/>
    <mergeCell ref="B142:B146"/>
    <mergeCell ref="C142:C146"/>
    <mergeCell ref="E142:E146"/>
    <mergeCell ref="I142:I146"/>
    <mergeCell ref="L142:L146"/>
    <mergeCell ref="N142:N146"/>
    <mergeCell ref="M142:M146"/>
    <mergeCell ref="J142:J146"/>
    <mergeCell ref="K142:K146"/>
    <mergeCell ref="J137:J141"/>
    <mergeCell ref="A147:A151"/>
    <mergeCell ref="B147:B151"/>
    <mergeCell ref="C147:C151"/>
    <mergeCell ref="E147:E151"/>
    <mergeCell ref="I147:I151"/>
    <mergeCell ref="L147:L151"/>
    <mergeCell ref="N147:N151"/>
    <mergeCell ref="A152:A156"/>
    <mergeCell ref="B152:B156"/>
    <mergeCell ref="C152:C156"/>
    <mergeCell ref="E152:E156"/>
    <mergeCell ref="I152:I156"/>
    <mergeCell ref="L152:L156"/>
    <mergeCell ref="N152:N156"/>
    <mergeCell ref="M147:M151"/>
    <mergeCell ref="M152:M156"/>
    <mergeCell ref="J147:J151"/>
    <mergeCell ref="J152:J156"/>
    <mergeCell ref="K147:K151"/>
    <mergeCell ref="K152:K156"/>
    <mergeCell ref="A157:A161"/>
    <mergeCell ref="B157:B161"/>
    <mergeCell ref="C157:C161"/>
    <mergeCell ref="E157:E161"/>
    <mergeCell ref="I157:I161"/>
    <mergeCell ref="L157:L161"/>
    <mergeCell ref="N157:N161"/>
    <mergeCell ref="A162:A166"/>
    <mergeCell ref="B162:B166"/>
    <mergeCell ref="C162:C166"/>
    <mergeCell ref="E162:E166"/>
    <mergeCell ref="I162:I166"/>
    <mergeCell ref="L162:L166"/>
    <mergeCell ref="N162:N166"/>
    <mergeCell ref="M157:M161"/>
    <mergeCell ref="M162:M166"/>
    <mergeCell ref="J157:J161"/>
    <mergeCell ref="J162:J166"/>
    <mergeCell ref="K157:K161"/>
    <mergeCell ref="K162:K166"/>
    <mergeCell ref="A167:A171"/>
    <mergeCell ref="B167:B171"/>
    <mergeCell ref="C167:C171"/>
    <mergeCell ref="E167:E171"/>
    <mergeCell ref="I167:I171"/>
    <mergeCell ref="L167:L171"/>
    <mergeCell ref="N167:N171"/>
    <mergeCell ref="A172:A175"/>
    <mergeCell ref="B172:B175"/>
    <mergeCell ref="C172:C175"/>
    <mergeCell ref="E172:E175"/>
    <mergeCell ref="I172:I175"/>
    <mergeCell ref="L172:L175"/>
    <mergeCell ref="N172:N175"/>
    <mergeCell ref="M167:M171"/>
    <mergeCell ref="M172:M175"/>
    <mergeCell ref="J167:J171"/>
    <mergeCell ref="J172:J175"/>
    <mergeCell ref="K167:K171"/>
    <mergeCell ref="K172:K175"/>
    <mergeCell ref="A176:A181"/>
    <mergeCell ref="B176:B181"/>
    <mergeCell ref="C176:C181"/>
    <mergeCell ref="E176:E181"/>
    <mergeCell ref="I176:I181"/>
    <mergeCell ref="L176:L181"/>
    <mergeCell ref="N176:N181"/>
    <mergeCell ref="A182:A185"/>
    <mergeCell ref="B182:B185"/>
    <mergeCell ref="C182:C185"/>
    <mergeCell ref="E182:E185"/>
    <mergeCell ref="I182:I185"/>
    <mergeCell ref="L182:L185"/>
    <mergeCell ref="N182:N185"/>
    <mergeCell ref="M176:M181"/>
    <mergeCell ref="M182:M185"/>
    <mergeCell ref="J176:J181"/>
    <mergeCell ref="J182:J185"/>
    <mergeCell ref="K176:K181"/>
    <mergeCell ref="K182:K185"/>
    <mergeCell ref="A186:A189"/>
    <mergeCell ref="B186:B189"/>
    <mergeCell ref="C186:C189"/>
    <mergeCell ref="E186:E189"/>
    <mergeCell ref="I186:I189"/>
    <mergeCell ref="L186:L189"/>
    <mergeCell ref="N186:N189"/>
    <mergeCell ref="A190:A193"/>
    <mergeCell ref="B190:B193"/>
    <mergeCell ref="C190:C193"/>
    <mergeCell ref="E190:E193"/>
    <mergeCell ref="I190:I193"/>
    <mergeCell ref="L190:L193"/>
    <mergeCell ref="N190:N193"/>
    <mergeCell ref="M186:M189"/>
    <mergeCell ref="M190:M193"/>
    <mergeCell ref="J186:J189"/>
    <mergeCell ref="J190:J193"/>
    <mergeCell ref="K186:K189"/>
    <mergeCell ref="K190:K193"/>
    <mergeCell ref="A194:A197"/>
    <mergeCell ref="B194:B197"/>
    <mergeCell ref="C194:C197"/>
    <mergeCell ref="E194:E197"/>
    <mergeCell ref="I194:I197"/>
    <mergeCell ref="L194:L197"/>
    <mergeCell ref="N194:N197"/>
    <mergeCell ref="A198:A203"/>
    <mergeCell ref="B198:B203"/>
    <mergeCell ref="C198:C203"/>
    <mergeCell ref="E198:E203"/>
    <mergeCell ref="I198:I203"/>
    <mergeCell ref="L198:L203"/>
    <mergeCell ref="N198:N203"/>
    <mergeCell ref="M194:M197"/>
    <mergeCell ref="M198:M203"/>
    <mergeCell ref="J194:J197"/>
    <mergeCell ref="J198:J203"/>
    <mergeCell ref="K194:K197"/>
    <mergeCell ref="K198:K203"/>
    <mergeCell ref="A211:A213"/>
    <mergeCell ref="B211:B213"/>
    <mergeCell ref="C211:C213"/>
    <mergeCell ref="E211:E213"/>
    <mergeCell ref="I211:I213"/>
    <mergeCell ref="L211:L213"/>
    <mergeCell ref="N211:N213"/>
    <mergeCell ref="A204:A207"/>
    <mergeCell ref="B204:B207"/>
    <mergeCell ref="C204:C207"/>
    <mergeCell ref="E204:E207"/>
    <mergeCell ref="I204:I207"/>
    <mergeCell ref="L204:L207"/>
    <mergeCell ref="N204:N207"/>
    <mergeCell ref="A208:A210"/>
    <mergeCell ref="B208:B210"/>
    <mergeCell ref="C208:C210"/>
    <mergeCell ref="E208:E210"/>
    <mergeCell ref="I208:I210"/>
    <mergeCell ref="L208:L210"/>
    <mergeCell ref="N208:N210"/>
    <mergeCell ref="M204:M207"/>
    <mergeCell ref="M208:M210"/>
    <mergeCell ref="M211:M213"/>
    <mergeCell ref="M112:M116"/>
    <mergeCell ref="M117:M121"/>
    <mergeCell ref="M122:M126"/>
    <mergeCell ref="M127:M131"/>
    <mergeCell ref="M132:M136"/>
    <mergeCell ref="M137:M141"/>
    <mergeCell ref="M36:M39"/>
    <mergeCell ref="M40:M43"/>
    <mergeCell ref="M61:M67"/>
    <mergeCell ref="M68:M74"/>
    <mergeCell ref="M75:M80"/>
    <mergeCell ref="M81:M86"/>
    <mergeCell ref="M87:M92"/>
    <mergeCell ref="M93:M97"/>
    <mergeCell ref="M56:M60"/>
    <mergeCell ref="M44:M47"/>
    <mergeCell ref="M48:M51"/>
    <mergeCell ref="M52:M55"/>
    <mergeCell ref="J13:J15"/>
    <mergeCell ref="J16:J19"/>
    <mergeCell ref="J20:J23"/>
    <mergeCell ref="J24:J27"/>
    <mergeCell ref="J28:J31"/>
    <mergeCell ref="J32:J35"/>
    <mergeCell ref="M98:M102"/>
    <mergeCell ref="M103:M107"/>
    <mergeCell ref="M108:M111"/>
    <mergeCell ref="M13:M15"/>
    <mergeCell ref="M16:M19"/>
    <mergeCell ref="M20:M23"/>
    <mergeCell ref="M24:M27"/>
    <mergeCell ref="M28:M31"/>
    <mergeCell ref="M32:M35"/>
    <mergeCell ref="L75:L80"/>
    <mergeCell ref="L61:L67"/>
    <mergeCell ref="L13:L15"/>
    <mergeCell ref="L16:L19"/>
    <mergeCell ref="K13:K15"/>
    <mergeCell ref="K16:K19"/>
    <mergeCell ref="J36:J39"/>
    <mergeCell ref="J40:J43"/>
    <mergeCell ref="J61:J67"/>
    <mergeCell ref="J204:J207"/>
    <mergeCell ref="J208:J210"/>
    <mergeCell ref="J211:J213"/>
    <mergeCell ref="A2:A4"/>
    <mergeCell ref="B2:B4"/>
    <mergeCell ref="C2:C4"/>
    <mergeCell ref="E2:E4"/>
    <mergeCell ref="I2:I4"/>
    <mergeCell ref="J2:J4"/>
    <mergeCell ref="D162:D166"/>
    <mergeCell ref="D167:D171"/>
    <mergeCell ref="D172:D175"/>
    <mergeCell ref="D176:D181"/>
    <mergeCell ref="D182:D185"/>
    <mergeCell ref="D186:D189"/>
    <mergeCell ref="D190:D193"/>
    <mergeCell ref="D194:D197"/>
    <mergeCell ref="D198:D203"/>
    <mergeCell ref="D204:D207"/>
    <mergeCell ref="D208:D210"/>
    <mergeCell ref="D211:D213"/>
    <mergeCell ref="J98:J102"/>
    <mergeCell ref="J103:J107"/>
    <mergeCell ref="J108:J111"/>
    <mergeCell ref="M2:M4"/>
    <mergeCell ref="N2:N4"/>
    <mergeCell ref="A10:A12"/>
    <mergeCell ref="B10:B12"/>
    <mergeCell ref="C10:C12"/>
    <mergeCell ref="E10:E12"/>
    <mergeCell ref="I10:I12"/>
    <mergeCell ref="J10:J12"/>
    <mergeCell ref="L10:L12"/>
    <mergeCell ref="M10:M12"/>
    <mergeCell ref="N10:N12"/>
    <mergeCell ref="K2:K4"/>
    <mergeCell ref="K5:K9"/>
    <mergeCell ref="K10:K12"/>
    <mergeCell ref="J5:J9"/>
    <mergeCell ref="M5:M9"/>
    <mergeCell ref="L5:L9"/>
    <mergeCell ref="E5:E9"/>
    <mergeCell ref="N5:N9"/>
    <mergeCell ref="K28:K31"/>
    <mergeCell ref="K32:K35"/>
    <mergeCell ref="K36:K39"/>
    <mergeCell ref="K40:K43"/>
    <mergeCell ref="K61:K67"/>
    <mergeCell ref="K68:K74"/>
    <mergeCell ref="K75:K80"/>
    <mergeCell ref="K81:K86"/>
    <mergeCell ref="L2:L4"/>
    <mergeCell ref="L48:L51"/>
    <mergeCell ref="L52:L55"/>
    <mergeCell ref="K98:K102"/>
    <mergeCell ref="K103:K107"/>
    <mergeCell ref="K108:K111"/>
    <mergeCell ref="K112:K116"/>
    <mergeCell ref="K117:K121"/>
    <mergeCell ref="K122:K126"/>
    <mergeCell ref="K127:K131"/>
    <mergeCell ref="K132:K136"/>
    <mergeCell ref="K137:K141"/>
    <mergeCell ref="K204:K207"/>
    <mergeCell ref="K208:K210"/>
    <mergeCell ref="K211:K213"/>
    <mergeCell ref="A56:A60"/>
    <mergeCell ref="B56:B60"/>
    <mergeCell ref="C56:C60"/>
    <mergeCell ref="E56:E60"/>
    <mergeCell ref="I56:I60"/>
    <mergeCell ref="J56:J60"/>
    <mergeCell ref="K56:K60"/>
    <mergeCell ref="D93:D97"/>
    <mergeCell ref="D98:D102"/>
    <mergeCell ref="D103:D107"/>
    <mergeCell ref="D108:D111"/>
    <mergeCell ref="D112:D116"/>
    <mergeCell ref="D117:D121"/>
    <mergeCell ref="D122:D126"/>
    <mergeCell ref="D127:D131"/>
    <mergeCell ref="D132:D136"/>
    <mergeCell ref="D137:D141"/>
    <mergeCell ref="D142:D146"/>
    <mergeCell ref="D147:D151"/>
    <mergeCell ref="D152:D156"/>
    <mergeCell ref="D157:D161"/>
    <mergeCell ref="O2:O4"/>
    <mergeCell ref="O5:O9"/>
    <mergeCell ref="O10:O12"/>
    <mergeCell ref="O13:O15"/>
    <mergeCell ref="O16:O19"/>
    <mergeCell ref="O20:O23"/>
    <mergeCell ref="O24:O27"/>
    <mergeCell ref="O28:O31"/>
    <mergeCell ref="O32:O35"/>
    <mergeCell ref="O36:O39"/>
    <mergeCell ref="O40:O43"/>
    <mergeCell ref="O56:O60"/>
    <mergeCell ref="O61:O67"/>
    <mergeCell ref="O68:O74"/>
    <mergeCell ref="O75:O80"/>
    <mergeCell ref="O81:O86"/>
    <mergeCell ref="O87:O92"/>
    <mergeCell ref="O93:O97"/>
    <mergeCell ref="O44:O47"/>
    <mergeCell ref="O48:O51"/>
    <mergeCell ref="O52:O55"/>
    <mergeCell ref="O98:O102"/>
    <mergeCell ref="O103:O107"/>
    <mergeCell ref="O108:O111"/>
    <mergeCell ref="O112:O116"/>
    <mergeCell ref="O117:O121"/>
    <mergeCell ref="O122:O126"/>
    <mergeCell ref="O127:O131"/>
    <mergeCell ref="O132:O136"/>
    <mergeCell ref="O137:O141"/>
    <mergeCell ref="O142:O146"/>
    <mergeCell ref="O147:O151"/>
    <mergeCell ref="O152:O156"/>
    <mergeCell ref="O157:O161"/>
    <mergeCell ref="O162:O166"/>
    <mergeCell ref="O167:O171"/>
    <mergeCell ref="O172:O175"/>
    <mergeCell ref="O176:O181"/>
    <mergeCell ref="O182:O185"/>
    <mergeCell ref="O186:O189"/>
    <mergeCell ref="O190:O193"/>
    <mergeCell ref="O194:O197"/>
    <mergeCell ref="O198:O203"/>
    <mergeCell ref="O204:O207"/>
    <mergeCell ref="O208:O210"/>
    <mergeCell ref="O211:O213"/>
    <mergeCell ref="D2:D4"/>
    <mergeCell ref="D5:D9"/>
    <mergeCell ref="D10:D12"/>
    <mergeCell ref="D13:D15"/>
    <mergeCell ref="D16:D19"/>
    <mergeCell ref="D20:D23"/>
    <mergeCell ref="D24:D27"/>
    <mergeCell ref="D28:D31"/>
    <mergeCell ref="D32:D35"/>
    <mergeCell ref="D36:D39"/>
    <mergeCell ref="D40:D43"/>
    <mergeCell ref="D56:D60"/>
    <mergeCell ref="D61:D67"/>
    <mergeCell ref="D68:D74"/>
    <mergeCell ref="D75:D80"/>
    <mergeCell ref="D81:D86"/>
    <mergeCell ref="D87:D92"/>
  </mergeCells>
  <phoneticPr fontId="1" type="noConversion"/>
  <conditionalFormatting sqref="B5">
    <cfRule type="expression" dxfId="12" priority="15">
      <formula>($B$2="제작")</formula>
    </cfRule>
  </conditionalFormatting>
  <conditionalFormatting sqref="B10:B11 B87 B93 B98 B103 B108 B112 B117 B122 B127 B132 B137 B142 B147 B152 B157 B162 B167 B172 B176 B182 B186 B190 B194 B198 B204 B208 B211 B214:B1048576">
    <cfRule type="expression" dxfId="11" priority="9">
      <formula>($B10="구매")</formula>
    </cfRule>
    <cfRule type="expression" dxfId="10" priority="10">
      <formula>($B10="제작")</formula>
    </cfRule>
  </conditionalFormatting>
  <conditionalFormatting sqref="B13">
    <cfRule type="expression" dxfId="9" priority="7">
      <formula>($B13="구매")</formula>
    </cfRule>
    <cfRule type="expression" dxfId="8" priority="8">
      <formula>($B13="제작")</formula>
    </cfRule>
  </conditionalFormatting>
  <conditionalFormatting sqref="B1:B3 B24 B28 B32 B56 B40 B36 B75 B68 B61 B81 B5:B11 B13:B20">
    <cfRule type="expression" dxfId="7" priority="11">
      <formula>($B1="구매")</formula>
    </cfRule>
    <cfRule type="expression" dxfId="6" priority="16">
      <formula>($B1="제작")</formula>
    </cfRule>
  </conditionalFormatting>
  <conditionalFormatting sqref="B44">
    <cfRule type="expression" dxfId="5" priority="5">
      <formula>($B44="구매")</formula>
    </cfRule>
    <cfRule type="expression" dxfId="4" priority="6">
      <formula>($B44="제작")</formula>
    </cfRule>
  </conditionalFormatting>
  <conditionalFormatting sqref="B48">
    <cfRule type="expression" dxfId="3" priority="3">
      <formula>($B48="구매")</formula>
    </cfRule>
    <cfRule type="expression" dxfId="2" priority="4">
      <formula>($B48="제작")</formula>
    </cfRule>
  </conditionalFormatting>
  <conditionalFormatting sqref="B52">
    <cfRule type="expression" dxfId="1" priority="1">
      <formula>($B52="구매")</formula>
    </cfRule>
    <cfRule type="expression" dxfId="0" priority="2">
      <formula>($B52="제작")</formula>
    </cfRule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116816E-07A7-4933-92EF-7B93035AD64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검색</vt:lpstr>
      <vt:lpstr>거래소 최저가</vt:lpstr>
      <vt:lpstr>제작리스트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woocheol sim</dc:creator>
  <cp:lastModifiedBy>woocheol sim</cp:lastModifiedBy>
  <dcterms:created xsi:type="dcterms:W3CDTF">2021-07-26T11:32:21Z</dcterms:created>
  <dcterms:modified xsi:type="dcterms:W3CDTF">2021-10-26T09:02:54Z</dcterms:modified>
</cp:coreProperties>
</file>