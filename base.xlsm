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1BB8F493-2993-42FD-9D81-B6721869C830}" xr6:coauthVersionLast="47" xr6:coauthVersionMax="47" xr10:uidLastSave="{00000000-0000-0000-0000-000000000000}"/>
  <bookViews>
    <workbookView xWindow="390" yWindow="390" windowWidth="23100" windowHeight="16845" activeTab="2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C211" i="5"/>
  <c r="C208" i="5"/>
  <c r="C204" i="5"/>
  <c r="C198" i="5"/>
  <c r="C194" i="5"/>
  <c r="C190" i="5"/>
  <c r="C186" i="5"/>
  <c r="C182" i="5"/>
  <c r="C176" i="5"/>
  <c r="C172" i="5"/>
  <c r="C167" i="5"/>
  <c r="C162" i="5"/>
  <c r="C157" i="5"/>
  <c r="C152" i="5"/>
  <c r="C147" i="5"/>
  <c r="D147" i="5" s="1"/>
  <c r="C142" i="5"/>
  <c r="D142" i="5" s="1"/>
  <c r="C137" i="5"/>
  <c r="C132" i="5"/>
  <c r="C127" i="5"/>
  <c r="C122" i="5"/>
  <c r="C117" i="5"/>
  <c r="C108" i="5"/>
  <c r="C103" i="5"/>
  <c r="C98" i="5"/>
  <c r="C93" i="5"/>
  <c r="C87" i="5"/>
  <c r="C81" i="5"/>
  <c r="C75" i="5"/>
  <c r="C68" i="5"/>
  <c r="C61" i="5"/>
  <c r="D61" i="5" s="1"/>
  <c r="C56" i="5"/>
  <c r="D56" i="5" s="1"/>
  <c r="C52" i="5"/>
  <c r="C48" i="5"/>
  <c r="C44" i="5"/>
  <c r="C40" i="5"/>
  <c r="C36" i="5"/>
  <c r="C32" i="5"/>
  <c r="C28" i="5"/>
  <c r="C24" i="5"/>
  <c r="C20" i="5"/>
  <c r="C16" i="5"/>
  <c r="C13" i="5"/>
  <c r="C10" i="5"/>
  <c r="C5" i="5"/>
  <c r="C2" i="5"/>
  <c r="D122" i="5"/>
  <c r="D198" i="5"/>
  <c r="D112" i="5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D10" i="5"/>
  <c r="D13" i="5"/>
  <c r="D16" i="5"/>
  <c r="D81" i="5"/>
  <c r="D87" i="5"/>
  <c r="D93" i="5"/>
  <c r="D98" i="5"/>
  <c r="D103" i="5"/>
  <c r="D108" i="5"/>
  <c r="D117" i="5"/>
  <c r="D127" i="5"/>
  <c r="D132" i="5"/>
  <c r="D137" i="5"/>
  <c r="D162" i="5"/>
  <c r="D167" i="5"/>
  <c r="D172" i="5"/>
  <c r="D176" i="5"/>
  <c r="D182" i="5"/>
  <c r="D186" i="5"/>
  <c r="D190" i="5"/>
  <c r="D194" i="5"/>
  <c r="D204" i="5"/>
  <c r="G18" i="1"/>
  <c r="G92" i="4"/>
  <c r="G91" i="4"/>
  <c r="D44" i="5" s="1"/>
  <c r="G90" i="4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G99" i="4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G88" i="4"/>
  <c r="G87" i="4"/>
  <c r="G86" i="4"/>
  <c r="G85" i="4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N2" i="5"/>
  <c r="O2" i="5" s="1"/>
  <c r="E2" i="5"/>
  <c r="F18" i="1" l="1"/>
  <c r="G23" i="1" a="1"/>
  <c r="G23" i="1" s="1"/>
  <c r="D23" i="1" s="1"/>
  <c r="G22" i="1" a="1"/>
  <c r="G22" i="1" s="1"/>
  <c r="D22" i="1" s="1"/>
  <c r="G21" i="1"/>
  <c r="D21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<sst xmlns="http://schemas.openxmlformats.org/spreadsheetml/2006/main" count="612" uniqueCount="152">
  <si>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</si>
  <si>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</si>
  <si>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</si>
  <si>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</si>
  <si>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</si>
  <si>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</si>
  <si>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</si>
  <si>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</si>
  <si>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</si>
  <si>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</si>
  <si>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</si>
  <si>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</si>
  <si>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</si>
  <si>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</si>
  <si>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</si>
  <si>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</si>
  <si>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</si>
  <si>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</si>
  <si>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</si>
  <si>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</si>
  <si>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</si>
  <si>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</si>
  <si>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</si>
  <si>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</si>
  <si>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</si>
  <si>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</si>
  <si>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</si>
  <si>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</si>
  <si>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</si>
  <si>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</si>
  <si>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</si>
  <si>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</si>
  <si>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</si>
  <si>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</si>
  <si>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</si>
  <si>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</si>
  <si>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</si>
  <si>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</si>
  <si>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</si>
  <si>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</si>
  <si>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</si>
  <si>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</si>
  <si>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</si>
  <si>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</si>
  <si>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</si>
  <si>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</si>
  <si>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</si>
  <si>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</si>
  <si>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</si>
  <si>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</si>
  <si>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</si>
  <si>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</si>
  <si>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</si>
  <si>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</si>
  <si>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</si>
  <si>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</si>
  <si>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</si>
  <si>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</si>
  <si>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</si>
  <si>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</si>
  <si>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</si>
  <si>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</si>
  <si>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</si>
  <si>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</si>
  <si>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</si>
  <si>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</si>
  <si>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</si>
  <si>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</si>
  <si>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</si>
  <si>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</si>
  <si>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</si>
  <si>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</si>
  <si>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</si>
  <si>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</si>
  <si>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</si>
  <si>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</si>
  <si>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</si>
  <si>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</si>
  <si>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</si>
  <si>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</si>
  <si>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</si>
  <si>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</si>
  <si>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</si>
  <si>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</si>
  <si>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</si>
  <si>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</si>
  <si>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</si>
  <si>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</si>
  <si>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</si>
  <si>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</si>
  <si>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</si>
  <si>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</si>
  <si>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</si>
  <si>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</si>
  <si>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</si>
  <si>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</si>
  <si>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</si>
  <si>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</si>
  <si>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</si>
  <si>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</si>
  <si>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</si>
  <si>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</si>
  <si>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</si>
  <si>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</si>
  <si>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</si>
  <si>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</si>
  <si>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</si>
  <si>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</si>
  <si>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</si>
  <si>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</si>
  <si>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</si>
  <si>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</si>
  <si>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</si>
  <si>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</si>
  <si>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</si>
  <si>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</si>
  <si>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</si>
  <si>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</si>
  <si>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</si>
  <si>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</si>
  <si>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</si>
  <si>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</si>
  <si>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</si>
  <si>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</si>
  <si>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</si>
  <si>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</si>
  <si>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</si>
  <si>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</si>
  <si>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</si>
  <si>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</si>
  <si>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</si>
  <si>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</si>
  <si>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</si>
  <si>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</si>
  <si>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</si>
  <si>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</si>
  <si>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</si>
  <si>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</si>
  <si>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</si>
  <si>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</si>
  <si>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</si>
  <si>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</si>
  <si>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</si>
  <si>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</si>
  <si>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</si>
  <si>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</si>
  <si>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</si>
  <si>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</si>
  <si>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</si>
  <si>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</t>
    <phoneticPr fontId="1" type="noConversion"/>
  </si>
  <si>
    <t xml:space="preserve">
주의) 이 파일이 base.xlsm 파일이라면 우측에 계정정보, 확률 입력부분을 제외하고는 수정하거나 삭제하지 마세요.</t>
    <phoneticPr fontId="1" type="noConversion"/>
  </si>
  <si>
    <t xml:space="preserve">
!!! 반드시 폴더 내의 Readme.txt 파일을 먼저 읽어주세요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</si>
</sst>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20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vertical="center" wrapText="1"/>
    </xf>
    <xf numFmtId="0" fontId="0" fillId="2" borderId="46" xfId="0" applyFill="1" applyBorder="1" applyAlignment="1" applyProtection="1">
      <alignment vertical="center" wrapText="1"/>
    </xf>
    <xf numFmtId="0" fontId="0" fillId="2" borderId="47" xfId="0" applyFill="1" applyBorder="1" applyAlignment="1" applyProtection="1">
      <alignment vertical="center" wrapText="1"/>
    </xf>
    <xf numFmtId="179" fontId="27" fillId="4" borderId="36" xfId="0" applyNumberFormat="1" applyFont="1" applyFill="1" applyBorder="1" applyAlignment="1" applyProtection="1">
      <alignment horizontal="center" vertical="center"/>
      <protection locked="0"/>
    </xf>
    <xf numFmtId="179" fontId="27" fillId="4" borderId="42" xfId="0" applyNumberFormat="1" applyFont="1" applyFill="1" applyBorder="1" applyAlignment="1" applyProtection="1">
      <alignment horizontal="center" vertical="center"/>
      <protection locked="0"/>
    </xf>
    <xf numFmtId="179" fontId="27" fillId="4" borderId="36" xfId="0" applyNumberFormat="1" applyFont="1" applyFill="1" applyBorder="1" applyAlignment="1">
      <alignment horizontal="center" vertical="center"/>
    </xf>
    <xf numFmtId="179" fontId="27" fillId="4" borderId="42" xfId="0" applyNumberFormat="1" applyFont="1" applyFill="1" applyBorder="1" applyAlignment="1">
      <alignment horizontal="center" vertical="center"/>
    </xf>
    <xf numFmtId="179" fontId="27" fillId="4" borderId="48" xfId="0" applyNumberFormat="1" applyFont="1" applyFill="1" applyBorder="1" applyAlignment="1">
      <alignment horizontal="center" vertical="center"/>
    </xf>
    <xf numFmtId="179" fontId="27" fillId="4" borderId="49" xfId="0" applyNumberFormat="1" applyFont="1" applyFill="1" applyBorder="1" applyAlignment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43" xfId="0" applyFill="1" applyBorder="1" applyAlignment="1" applyProtection="1">
      <alignment horizontal="center" vertical="center" wrapText="1"/>
    </xf>
    <xf numFmtId="0" fontId="0" fillId="2" borderId="44" xfId="0" applyFill="1" applyBorder="1" applyAlignment="1" applyProtection="1">
      <alignment horizontal="center" vertical="center" wrapText="1"/>
    </xf>
    <xf numFmtId="0" fontId="0" fillId="2" borderId="45" xfId="0" applyFill="1" applyBorder="1" applyAlignment="1" applyProtection="1">
      <alignment horizontal="center" vertical="center" wrapText="1"/>
    </xf>
    <xf numFmtId="0" fontId="0" fillId="2" borderId="46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0" fillId="2" borderId="47" xfId="0" applyFill="1" applyBorder="1" applyAlignment="1" applyProtection="1">
      <alignment horizontal="center" vertical="center" wrapText="1"/>
    </xf>
    <xf numFmtId="0" fontId="26" fillId="2" borderId="46" xfId="0" applyFont="1" applyFill="1" applyBorder="1" applyAlignment="1" applyProtection="1">
      <alignment horizontal="center" vertical="center" wrapText="1"/>
    </xf>
    <xf numFmtId="0" fontId="26" fillId="2" borderId="0" xfId="0" applyFont="1" applyFill="1" applyBorder="1" applyAlignment="1" applyProtection="1">
      <alignment horizontal="center" vertical="center" wrapText="1"/>
    </xf>
    <xf numFmtId="0" fontId="26" fillId="2" borderId="47" xfId="0" applyFont="1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0" fillId="0" borderId="1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workbookViewId="0">
      <selection activeCell="B7" sqref="B7:F10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130" t="s">
        <v>149</v>
      </c>
      <c r="C2" s="131"/>
      <c r="D2" s="131"/>
      <c r="E2" s="131"/>
      <c r="F2" s="132"/>
      <c r="G2" s="20"/>
      <c r="H2" s="20"/>
      <c r="I2" s="20"/>
      <c r="J2" s="20"/>
      <c r="K2" s="20"/>
      <c r="L2" s="20"/>
    </row>
    <row r="3" spans="1:12">
      <c r="A3" s="20"/>
      <c r="B3" s="133"/>
      <c r="C3" s="134"/>
      <c r="D3" s="134"/>
      <c r="E3" s="134"/>
      <c r="F3" s="135"/>
      <c r="G3" s="20"/>
      <c r="H3" s="20"/>
      <c r="I3" s="20"/>
      <c r="J3" s="20"/>
      <c r="K3" s="20"/>
      <c r="L3" s="20"/>
    </row>
    <row r="4" spans="1:12" ht="17.25" thickBot="1">
      <c r="A4" s="20"/>
      <c r="B4" s="133"/>
      <c r="C4" s="134"/>
      <c r="D4" s="134"/>
      <c r="E4" s="134"/>
      <c r="F4" s="135"/>
      <c r="G4" s="20"/>
      <c r="H4" s="20"/>
      <c r="I4" s="20"/>
      <c r="J4" s="20"/>
      <c r="K4" s="20"/>
      <c r="L4" s="20"/>
    </row>
    <row r="5" spans="1:12">
      <c r="A5" s="20"/>
      <c r="B5" s="133"/>
      <c r="C5" s="134"/>
      <c r="D5" s="134"/>
      <c r="E5" s="134"/>
      <c r="F5" s="135"/>
      <c r="G5" s="20"/>
      <c r="H5" s="85" t="s">
        <v>138</v>
      </c>
      <c r="I5" s="86" t="s">
        <v>142</v>
      </c>
      <c r="J5" s="128" t="s">
        <v>143</v>
      </c>
      <c r="K5" s="128"/>
      <c r="L5" s="129"/>
    </row>
    <row r="6" spans="1:12">
      <c r="A6" s="20"/>
      <c r="B6" s="133"/>
      <c r="C6" s="134"/>
      <c r="D6" s="134"/>
      <c r="E6" s="134"/>
      <c r="F6" s="135"/>
      <c r="G6" s="20"/>
      <c r="H6" s="27" t="s">
        <v>139</v>
      </c>
      <c r="I6" s="145"/>
      <c r="J6" s="146"/>
      <c r="K6" s="146"/>
      <c r="L6" s="147"/>
    </row>
    <row r="7" spans="1:12">
      <c r="A7" s="20"/>
      <c r="B7" s="136" t="s">
        <v>151</v>
      </c>
      <c r="C7" s="137"/>
      <c r="D7" s="137"/>
      <c r="E7" s="137"/>
      <c r="F7" s="138"/>
      <c r="G7" s="20"/>
      <c r="H7" s="27" t="s">
        <v>140</v>
      </c>
      <c r="I7" s="148"/>
      <c r="J7" s="148"/>
      <c r="K7" s="148"/>
      <c r="L7" s="149"/>
    </row>
    <row r="8" spans="1:12">
      <c r="A8" s="20"/>
      <c r="B8" s="136"/>
      <c r="C8" s="137"/>
      <c r="D8" s="137"/>
      <c r="E8" s="137"/>
      <c r="F8" s="138"/>
      <c r="G8" s="20"/>
      <c r="H8" s="139" t="s">
        <v>144</v>
      </c>
      <c r="I8" s="140"/>
      <c r="J8" s="140"/>
      <c r="K8" s="140"/>
      <c r="L8" s="141"/>
    </row>
    <row r="9" spans="1:12" ht="16.5" customHeight="1">
      <c r="A9" s="20"/>
      <c r="B9" s="136"/>
      <c r="C9" s="137"/>
      <c r="D9" s="137"/>
      <c r="E9" s="137"/>
      <c r="F9" s="138"/>
      <c r="G9" s="20"/>
      <c r="H9" s="139"/>
      <c r="I9" s="140"/>
      <c r="J9" s="140"/>
      <c r="K9" s="140"/>
      <c r="L9" s="141"/>
    </row>
    <row r="10" spans="1:12">
      <c r="A10" s="20"/>
      <c r="B10" s="136"/>
      <c r="C10" s="137"/>
      <c r="D10" s="137"/>
      <c r="E10" s="137"/>
      <c r="F10" s="138"/>
      <c r="G10" s="20"/>
      <c r="H10" s="139"/>
      <c r="I10" s="140"/>
      <c r="J10" s="140"/>
      <c r="K10" s="140"/>
      <c r="L10" s="141"/>
    </row>
    <row r="11" spans="1:12">
      <c r="A11" s="20"/>
      <c r="B11" s="133" t="s">
        <v>150</v>
      </c>
      <c r="C11" s="134"/>
      <c r="D11" s="134"/>
      <c r="E11" s="134"/>
      <c r="F11" s="135"/>
      <c r="G11" s="20"/>
      <c r="H11" s="139"/>
      <c r="I11" s="140"/>
      <c r="J11" s="140"/>
      <c r="K11" s="140"/>
      <c r="L11" s="141"/>
    </row>
    <row r="12" spans="1:12">
      <c r="A12" s="20"/>
      <c r="B12" s="133"/>
      <c r="C12" s="134"/>
      <c r="D12" s="134"/>
      <c r="E12" s="134"/>
      <c r="F12" s="135"/>
      <c r="G12" s="20"/>
      <c r="H12" s="139"/>
      <c r="I12" s="140"/>
      <c r="J12" s="140"/>
      <c r="K12" s="140"/>
      <c r="L12" s="141"/>
    </row>
    <row r="13" spans="1:12" ht="17.25" thickBot="1">
      <c r="A13" s="20"/>
      <c r="B13" s="133"/>
      <c r="C13" s="134"/>
      <c r="D13" s="134"/>
      <c r="E13" s="134"/>
      <c r="F13" s="135"/>
      <c r="G13" s="20"/>
      <c r="H13" s="142"/>
      <c r="I13" s="143"/>
      <c r="J13" s="143"/>
      <c r="K13" s="143"/>
      <c r="L13" s="144"/>
    </row>
    <row r="14" spans="1:12">
      <c r="A14" s="20"/>
      <c r="B14" s="90"/>
      <c r="C14" s="89"/>
      <c r="D14" s="89"/>
      <c r="E14" s="89"/>
      <c r="F14" s="91"/>
      <c r="G14" s="20"/>
      <c r="H14" s="20"/>
      <c r="I14" s="20"/>
      <c r="J14" s="20"/>
      <c r="K14" s="20"/>
      <c r="L14" s="20"/>
    </row>
    <row r="15" spans="1:12" ht="17.25" thickBot="1">
      <c r="A15" s="20"/>
      <c r="B15" s="103" t="s">
        <v>141</v>
      </c>
      <c r="C15" s="104"/>
      <c r="D15" s="104"/>
      <c r="E15" s="104"/>
      <c r="F15" s="105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12" t="s">
        <v>132</v>
      </c>
      <c r="I16" s="112"/>
      <c r="J16" s="112"/>
      <c r="K16" s="112"/>
      <c r="L16" s="112"/>
    </row>
    <row r="17" spans="1:12" ht="24" customHeight="1">
      <c r="A17" s="39">
        <f>1-0.01*I22</f>
        <v>1</v>
      </c>
      <c r="B17" s="42" t="s">
        <v>104</v>
      </c>
      <c r="C17" s="44" t="s">
        <v>8</v>
      </c>
      <c r="D17" s="44" t="s">
        <v>5</v>
      </c>
      <c r="E17" s="44" t="s">
        <v>36</v>
      </c>
      <c r="F17" s="78" t="s">
        <v>134</v>
      </c>
      <c r="G17" s="46"/>
      <c r="H17" s="113" t="s">
        <v>133</v>
      </c>
      <c r="I17" s="114"/>
      <c r="J17" s="114"/>
      <c r="K17" s="114"/>
      <c r="L17" s="114"/>
    </row>
    <row r="18" spans="1:12" ht="24" customHeight="1" thickBot="1">
      <c r="A18" s="20"/>
      <c r="B18" s="43" t="s">
        <v>87</v>
      </c>
      <c r="C18" s="41" t="str">
        <f>INDEX(제작리스트!B:B,검색!$G$18)</f>
        <v>구매</v>
      </c>
      <c r="D18" s="45">
        <f>INDEX(제작리스트!C:C,검색!$G$18)</f>
        <v>0</v>
      </c>
      <c r="E18" s="45">
        <f>INDEX(제작리스트!E:E,검색!$G$18)</f>
        <v>5</v>
      </c>
      <c r="F18" s="49">
        <f>INDEX(제작리스트!P:P,검색!$G$18)</f>
        <v>-1458.3333333333335</v>
      </c>
      <c r="G18" s="79">
        <f>MATCH(B18,제작리스트!A:A,0)</f>
        <v>162</v>
      </c>
      <c r="H18" s="114"/>
      <c r="I18" s="114"/>
      <c r="J18" s="114"/>
      <c r="K18" s="114"/>
      <c r="L18" s="114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14"/>
      <c r="I19" s="114"/>
      <c r="J19" s="114"/>
      <c r="K19" s="114"/>
      <c r="L19" s="114"/>
    </row>
    <row r="20" spans="1:12" ht="17.25" thickBot="1">
      <c r="A20" s="20"/>
      <c r="B20" s="126" t="s">
        <v>135</v>
      </c>
      <c r="C20" s="126"/>
      <c r="D20" s="127" t="s">
        <v>131</v>
      </c>
      <c r="E20" s="128"/>
      <c r="F20" s="129"/>
      <c r="G20" s="51"/>
      <c r="H20" s="25"/>
      <c r="I20" s="62" t="s">
        <v>125</v>
      </c>
      <c r="J20" s="61" t="s">
        <v>126</v>
      </c>
      <c r="K20" s="61" t="s">
        <v>127</v>
      </c>
      <c r="L20" s="59" t="s">
        <v>129</v>
      </c>
    </row>
    <row r="21" spans="1:12">
      <c r="A21" s="20"/>
      <c r="B21" s="22" t="s">
        <v>79</v>
      </c>
      <c r="C21" s="50" t="str">
        <f>INDEX(제작리스트!A:A,G21)</f>
        <v>[일품] 장인의 마늘 스테이크 정식</v>
      </c>
      <c r="D21" s="109">
        <f>INDEX(제작리스트!P:P,G21)</f>
        <v>-111.97916666666745</v>
      </c>
      <c r="E21" s="110"/>
      <c r="F21" s="111"/>
      <c r="G21" s="60">
        <f>MATCH(LARGE(제작리스트!P:P,1),제작리스트!P:P,0)</f>
        <v>56</v>
      </c>
      <c r="H21" s="63" t="s">
        <v>111</v>
      </c>
      <c r="I21" s="92"/>
      <c r="J21" s="92"/>
      <c r="K21" s="92"/>
      <c r="L21" s="93"/>
    </row>
    <row r="22" spans="1:12">
      <c r="A22" s="20"/>
      <c r="B22" s="47" t="s">
        <v>136</v>
      </c>
      <c r="C22" s="76" t="str">
        <f>INDEX(제작리스트!A:A,G22)</f>
        <v>[일품] 달인의 버터 스테이크 정식</v>
      </c>
      <c r="D22" s="117">
        <f>INDEX(제작리스트!P:P,G22)</f>
        <v>-937.5</v>
      </c>
      <c r="E22" s="118"/>
      <c r="F22" s="119"/>
      <c r="G22" s="60">
        <f t="array" ref="G22">IF(LARGE(제작리스트!P:P,1)=LARGE(제작리스트!P:P,2),IF(LARGE(제작리스트!P:P,3)=LARGE(제작리스트!P:P,2),LARGE(IF(제작리스트!P:P=LARGE(제작리스트!P:P,2),ROW(A:A),0),2),LARGE(IF(제작리스트!P:P=LARGE(제작리스트!P:P,1),ROW(A:A),0),1)),MATCH(LARGE(제작리스트!P:P,2),제작리스트!P:P,0))</f>
        <v>61</v>
      </c>
      <c r="H22" s="64" t="s">
        <v>112</v>
      </c>
      <c r="I22" s="94"/>
      <c r="J22" s="94"/>
      <c r="K22" s="94"/>
      <c r="L22" s="95"/>
    </row>
    <row r="23" spans="1:12" ht="17.25" thickBot="1">
      <c r="A23" s="20"/>
      <c r="B23" s="48" t="s">
        <v>137</v>
      </c>
      <c r="C23" s="77" t="str">
        <f>INDEX(제작리스트!A:A,G23)</f>
        <v>빛나는 정령의 회복약(정가구매)</v>
      </c>
      <c r="D23" s="120">
        <f>INDEX(제작리스트!P:P,G23)</f>
        <v>-944.44444444444446</v>
      </c>
      <c r="E23" s="121"/>
      <c r="F23" s="122"/>
      <c r="G23" s="60">
        <f t="array" ref="G23">IF(LARGE(제작리스트!P:P,2)=LARGE(제작리스트!P:P,3),LARGE(IF(제작리스트!P:P=LARGE(제작리스트!P:P,2),ROW(A:A),0),1),MATCH(LARGE(제작리스트!P:P,3),제작리스트!P:P,0))</f>
        <v>211</v>
      </c>
      <c r="H23" s="65" t="s">
        <v>113</v>
      </c>
      <c r="I23" s="96"/>
      <c r="J23" s="96"/>
      <c r="K23" s="96"/>
      <c r="L23" s="97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23" t="s">
        <v>103</v>
      </c>
      <c r="C25" s="124"/>
      <c r="D25" s="124"/>
      <c r="E25" s="124"/>
      <c r="F25" s="125"/>
      <c r="G25" s="51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98" t="s">
        <v>67</v>
      </c>
      <c r="D26" s="99"/>
      <c r="E26" s="98" t="s">
        <v>26</v>
      </c>
      <c r="F26" s="108"/>
      <c r="G26" s="51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98" t="s">
        <v>64</v>
      </c>
      <c r="D27" s="99"/>
      <c r="E27" s="98" t="s">
        <v>22</v>
      </c>
      <c r="F27" s="108"/>
      <c r="G27" s="51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98" t="s">
        <v>63</v>
      </c>
      <c r="D28" s="99"/>
      <c r="E28" s="98" t="s">
        <v>29</v>
      </c>
      <c r="F28" s="108"/>
      <c r="G28" s="51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98" t="s">
        <v>65</v>
      </c>
      <c r="D29" s="99"/>
      <c r="E29" s="98" t="s">
        <v>34</v>
      </c>
      <c r="F29" s="108"/>
      <c r="G29" s="51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98" t="s">
        <v>70</v>
      </c>
      <c r="D30" s="99"/>
      <c r="E30" s="98" t="s">
        <v>33</v>
      </c>
      <c r="F30" s="108"/>
      <c r="G30" s="51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98" t="s">
        <v>71</v>
      </c>
      <c r="D31" s="99"/>
      <c r="E31" s="98" t="s">
        <v>35</v>
      </c>
      <c r="F31" s="108"/>
      <c r="G31" s="51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98" t="s">
        <v>72</v>
      </c>
      <c r="D32" s="99"/>
      <c r="E32" s="98" t="s">
        <v>118</v>
      </c>
      <c r="F32" s="108"/>
      <c r="G32" s="51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98" t="s">
        <v>54</v>
      </c>
      <c r="D33" s="99"/>
      <c r="E33" s="98" t="s">
        <v>119</v>
      </c>
      <c r="F33" s="108"/>
      <c r="G33" s="51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98" t="s">
        <v>53</v>
      </c>
      <c r="D34" s="99"/>
      <c r="E34" s="98" t="s">
        <v>120</v>
      </c>
      <c r="F34" s="108"/>
      <c r="G34" s="51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98" t="s">
        <v>52</v>
      </c>
      <c r="D35" s="99"/>
      <c r="E35" s="98" t="s">
        <v>58</v>
      </c>
      <c r="F35" s="108"/>
      <c r="G35" s="51"/>
      <c r="H35" s="26"/>
      <c r="I35" s="58"/>
      <c r="J35" s="20"/>
      <c r="K35" s="20"/>
      <c r="L35" s="20"/>
    </row>
    <row r="36" spans="1:12">
      <c r="A36" s="20"/>
      <c r="B36" s="27" t="s">
        <v>51</v>
      </c>
      <c r="C36" s="98" t="s">
        <v>49</v>
      </c>
      <c r="D36" s="99"/>
      <c r="E36" s="98"/>
      <c r="F36" s="108"/>
      <c r="G36" s="51"/>
      <c r="H36" s="26"/>
      <c r="I36" s="58"/>
      <c r="J36" s="20"/>
      <c r="K36" s="20"/>
      <c r="L36" s="20"/>
    </row>
    <row r="37" spans="1:12">
      <c r="A37" s="20"/>
      <c r="B37" s="27" t="s">
        <v>57</v>
      </c>
      <c r="C37" s="98" t="s">
        <v>66</v>
      </c>
      <c r="D37" s="99"/>
      <c r="E37" s="106"/>
      <c r="F37" s="107"/>
      <c r="G37" s="51"/>
      <c r="H37" s="26"/>
      <c r="I37" s="58"/>
      <c r="J37" s="20"/>
      <c r="K37" s="20"/>
      <c r="L37" s="20"/>
    </row>
    <row r="38" spans="1:12">
      <c r="A38" s="20"/>
      <c r="B38" s="27" t="s">
        <v>68</v>
      </c>
      <c r="C38" s="98" t="s">
        <v>90</v>
      </c>
      <c r="D38" s="99"/>
      <c r="E38" s="106"/>
      <c r="F38" s="107"/>
      <c r="G38" s="51"/>
      <c r="H38" s="26"/>
      <c r="I38" s="58"/>
      <c r="J38" s="20"/>
      <c r="K38" s="20"/>
      <c r="L38" s="20"/>
    </row>
    <row r="39" spans="1:12">
      <c r="A39" s="20"/>
      <c r="B39" s="27" t="s">
        <v>98</v>
      </c>
      <c r="C39" s="98" t="s">
        <v>91</v>
      </c>
      <c r="D39" s="99"/>
      <c r="E39" s="106"/>
      <c r="F39" s="107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98" t="s">
        <v>62</v>
      </c>
      <c r="D40" s="99"/>
      <c r="E40" s="106"/>
      <c r="F40" s="107"/>
      <c r="G40" s="51"/>
      <c r="H40" s="20"/>
      <c r="I40" s="20"/>
      <c r="J40" s="20"/>
      <c r="K40" s="20"/>
      <c r="L40" s="20"/>
    </row>
    <row r="41" spans="1:12">
      <c r="A41" s="20"/>
      <c r="B41" s="87" t="s">
        <v>146</v>
      </c>
      <c r="C41" s="98" t="s">
        <v>69</v>
      </c>
      <c r="D41" s="99"/>
      <c r="E41" s="106"/>
      <c r="F41" s="107"/>
      <c r="G41" s="51"/>
      <c r="H41" s="20"/>
      <c r="I41" s="20"/>
      <c r="J41" s="20"/>
      <c r="K41" s="20"/>
      <c r="L41" s="20"/>
    </row>
    <row r="42" spans="1:12">
      <c r="A42" s="20"/>
      <c r="B42" s="87" t="s">
        <v>147</v>
      </c>
      <c r="C42" s="98" t="s">
        <v>74</v>
      </c>
      <c r="D42" s="99"/>
      <c r="E42" s="106"/>
      <c r="F42" s="107"/>
      <c r="G42" s="51"/>
      <c r="H42" s="20"/>
      <c r="I42" s="20"/>
      <c r="J42" s="20"/>
      <c r="K42" s="20"/>
      <c r="L42" s="20"/>
    </row>
    <row r="43" spans="1:12" ht="17.25" thickBot="1">
      <c r="A43" s="20"/>
      <c r="B43" s="88" t="s">
        <v>148</v>
      </c>
      <c r="C43" s="101" t="s">
        <v>73</v>
      </c>
      <c r="D43" s="102"/>
      <c r="E43" s="115"/>
      <c r="F43" s="116"/>
      <c r="G43" s="51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58"/>
      <c r="D44" s="58"/>
      <c r="E44" s="25"/>
      <c r="F44" s="58"/>
      <c r="G44" s="51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58"/>
      <c r="D45" s="58"/>
      <c r="E45" s="25"/>
      <c r="F45" s="58"/>
      <c r="G45" s="51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58"/>
      <c r="D46" s="58"/>
      <c r="E46" s="25"/>
      <c r="F46" s="58"/>
      <c r="G46" s="51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00"/>
      <c r="D47" s="100"/>
      <c r="E47" s="25"/>
      <c r="F47" s="58"/>
      <c r="G47" s="51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58"/>
      <c r="E48" s="25"/>
      <c r="F48" s="58"/>
      <c r="G48" s="51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58"/>
      <c r="E49" s="25"/>
      <c r="F49" s="58"/>
      <c r="G49" s="51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58"/>
      <c r="E50" s="25"/>
      <c r="F50" s="58"/>
      <c r="G50" s="51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58"/>
      <c r="E51" s="25"/>
      <c r="F51" s="58"/>
      <c r="G51" s="51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58"/>
      <c r="E52" s="25"/>
      <c r="F52" s="26"/>
      <c r="G52" s="51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58"/>
      <c r="E53" s="25"/>
      <c r="F53" s="26"/>
      <c r="G53" s="51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58"/>
      <c r="E54" s="25"/>
      <c r="F54" s="26"/>
      <c r="G54" s="51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58"/>
      <c r="E55" s="25"/>
      <c r="F55" s="26"/>
      <c r="G55" s="51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58"/>
      <c r="E56" s="25"/>
      <c r="F56" s="26"/>
      <c r="G56" s="51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58"/>
      <c r="E57" s="25"/>
      <c r="F57" s="26"/>
      <c r="G57" s="51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58"/>
      <c r="E58" s="25"/>
      <c r="F58" s="26"/>
      <c r="G58" s="51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58"/>
      <c r="E59" s="25"/>
      <c r="F59" s="26"/>
      <c r="G59" s="51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58"/>
      <c r="E60" s="25"/>
      <c r="F60" s="26"/>
      <c r="G60" s="51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58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58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58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58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58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58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58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58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58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58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58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3">
    <mergeCell ref="B2:F6"/>
    <mergeCell ref="B7:F10"/>
    <mergeCell ref="B11:F13"/>
    <mergeCell ref="H8:L13"/>
    <mergeCell ref="J5:L5"/>
    <mergeCell ref="I6:L6"/>
    <mergeCell ref="I7:L7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36:D36"/>
    <mergeCell ref="C47:D47"/>
    <mergeCell ref="C38:D38"/>
    <mergeCell ref="C39:D39"/>
    <mergeCell ref="C40:D40"/>
    <mergeCell ref="C41:D41"/>
    <mergeCell ref="C42:D42"/>
    <mergeCell ref="C43:D43"/>
    <mergeCell ref="C37:D37"/>
    <mergeCell ref="C28:D28"/>
    <mergeCell ref="C29:D29"/>
    <mergeCell ref="C30:D30"/>
    <mergeCell ref="C31:D31"/>
    <mergeCell ref="C32:D32"/>
    <mergeCell ref="C35:D35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2"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145</v>
      </c>
      <c r="B1" s="2" t="s">
        <v>3</v>
      </c>
      <c r="D1" s="16" t="s">
        <v>39</v>
      </c>
      <c r="F1" s="2" t="s">
        <v>145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tabSelected="1" zoomScaleNormal="100" workbookViewId="0">
      <pane xSplit="1" ySplit="1" topLeftCell="B88" activePane="bottomRight" state="frozen"/>
      <selection pane="topRight" activeCell="B1" sqref="B1"/>
      <selection pane="bottomLeft" activeCell="A2" sqref="A2"/>
      <selection pane="bottomRight" activeCell="D112" sqref="D112:D116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1" t="s">
        <v>2</v>
      </c>
      <c r="B2" s="164" t="str">
        <f t="shared" ref="B2:B32" si="0">IFERROR(IF(ISBLANK(A2),"",IF(C2&gt;E2,"제작","구매")),"")</f>
        <v>구매</v>
      </c>
      <c r="C2" s="167">
        <f>IFERROR(VLOOKUP(A2,'거래소 최저가'!F:G,2,FALSE),0)</f>
        <v>0</v>
      </c>
      <c r="D2" s="167">
        <f t="shared" ref="D2:D61" si="1">IFERROR(INT(C2*0.05)+1,"")</f>
        <v>1</v>
      </c>
      <c r="E2" s="170">
        <f t="shared" ref="E2:E32" si="2">IFERROR(IF(ISBLANK(A2),"",I2/L2),"")</f>
        <v>0.19599999999991269</v>
      </c>
      <c r="F2" s="80" t="s">
        <v>0</v>
      </c>
      <c r="G2" s="80">
        <v>35</v>
      </c>
      <c r="H2" s="80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67">
        <f>IF(ISBLANK(A2),"",SUM(H2:H$207)-SUM(I3:I$207))</f>
        <v>0.58799999999973807</v>
      </c>
      <c r="J2" s="167">
        <v>1</v>
      </c>
      <c r="K2" s="167">
        <f>IF(J2=1,1,INT(J2*(1-IF(Q2="배틀아이템",검색!$I$23,IF(Q2="요리",검색!$J$23,IF(Q2="특수",검색!$K$23,IF(Q2="생활도구",검색!$L$23))))*0.01)))</f>
        <v>1</v>
      </c>
      <c r="L2" s="167">
        <v>3</v>
      </c>
      <c r="M2" s="167">
        <f>L2*(1+0.01*IF(Q2="배틀아이템",검색!$I$21,IF(Q2="요리",검색!$J$21,IF(Q2="특수",검색!$K$21,IF(Q2="생활도구",검색!$L$21)))))</f>
        <v>3</v>
      </c>
      <c r="N2" s="167">
        <f t="shared" ref="N2:N61" si="3">IFERROR((((C2-D2)*M2-I2)/K2),"")</f>
        <v>-3.5879999999997381</v>
      </c>
      <c r="O2" s="153">
        <f t="shared" ref="O2:O32" si="4">N2*10000</f>
        <v>-35879.999999997381</v>
      </c>
      <c r="P2" s="150">
        <f t="shared" ref="P2:P61" si="5">((C2-D2-1)*M2-I2)/K2*10000</f>
        <v>-65879.999999997381</v>
      </c>
      <c r="Q2" s="72" t="s">
        <v>125</v>
      </c>
    </row>
    <row r="3" spans="1:17">
      <c r="A3" s="162"/>
      <c r="B3" s="165"/>
      <c r="C3" s="168"/>
      <c r="D3" s="168"/>
      <c r="E3" s="171"/>
      <c r="F3" s="81" t="s">
        <v>1</v>
      </c>
      <c r="G3" s="81">
        <v>20</v>
      </c>
      <c r="H3" s="81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68"/>
      <c r="J3" s="168"/>
      <c r="K3" s="168"/>
      <c r="L3" s="168"/>
      <c r="M3" s="168"/>
      <c r="N3" s="168"/>
      <c r="O3" s="154"/>
      <c r="P3" s="151"/>
      <c r="Q3" s="73" t="s">
        <v>125</v>
      </c>
    </row>
    <row r="4" spans="1:17" s="2" customFormat="1" ht="17.25" thickBot="1">
      <c r="A4" s="173"/>
      <c r="B4" s="174"/>
      <c r="C4" s="175"/>
      <c r="D4" s="175"/>
      <c r="E4" s="176"/>
      <c r="F4" s="83" t="s">
        <v>108</v>
      </c>
      <c r="G4" s="83">
        <v>1176</v>
      </c>
      <c r="H4" s="83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75"/>
      <c r="J4" s="175"/>
      <c r="K4" s="175"/>
      <c r="L4" s="175"/>
      <c r="M4" s="175"/>
      <c r="N4" s="175"/>
      <c r="O4" s="155"/>
      <c r="P4" s="152"/>
      <c r="Q4" s="74" t="s">
        <v>124</v>
      </c>
    </row>
    <row r="5" spans="1:17">
      <c r="A5" s="161" t="s">
        <v>37</v>
      </c>
      <c r="B5" s="164" t="str">
        <f t="shared" si="0"/>
        <v>구매</v>
      </c>
      <c r="C5" s="167">
        <f>IFERROR(VLOOKUP(A5,'거래소 최저가'!F:G,2,FALSE),0)</f>
        <v>0</v>
      </c>
      <c r="D5" s="167">
        <f t="shared" si="1"/>
        <v>1</v>
      </c>
      <c r="E5" s="170">
        <f t="shared" si="2"/>
        <v>5</v>
      </c>
      <c r="F5" s="80" t="s">
        <v>10</v>
      </c>
      <c r="G5" s="80">
        <v>32</v>
      </c>
      <c r="H5" s="80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67">
        <f>IF(ISBLANK(A5),"",SUM(H5:H$207)-SUM(I6:I$207))</f>
        <v>15</v>
      </c>
      <c r="J5" s="167">
        <v>144</v>
      </c>
      <c r="K5" s="167">
        <f>IF(J5=1,1,INT(J5*(1-IF(Q5="배틀아이템",검색!$I$23,IF(Q5="요리",검색!$J$23,IF(Q5="특수",검색!$K$23,IF(Q5="생활도구",검색!$L$23))))*0.01)))</f>
        <v>144</v>
      </c>
      <c r="L5" s="167">
        <v>3</v>
      </c>
      <c r="M5" s="167">
        <f>L5*(1+0.01*IF(Q5="배틀아이템",검색!$I$21,IF(Q5="요리",검색!$J$21,IF(Q5="특수",검색!$K$21,IF(Q5="생활도구",검색!$L$21)))))</f>
        <v>3</v>
      </c>
      <c r="N5" s="167">
        <f t="shared" si="3"/>
        <v>-0.125</v>
      </c>
      <c r="O5" s="153">
        <f t="shared" si="4"/>
        <v>-1250</v>
      </c>
      <c r="P5" s="159">
        <f t="shared" si="5"/>
        <v>-1458.3333333333335</v>
      </c>
      <c r="Q5" s="66" t="s">
        <v>125</v>
      </c>
    </row>
    <row r="6" spans="1:17">
      <c r="A6" s="162"/>
      <c r="B6" s="165"/>
      <c r="C6" s="168"/>
      <c r="D6" s="168"/>
      <c r="E6" s="171"/>
      <c r="F6" s="81" t="s">
        <v>11</v>
      </c>
      <c r="G6" s="81">
        <v>12</v>
      </c>
      <c r="H6" s="81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68"/>
      <c r="J6" s="168"/>
      <c r="K6" s="168"/>
      <c r="L6" s="168"/>
      <c r="M6" s="168"/>
      <c r="N6" s="168"/>
      <c r="O6" s="154"/>
      <c r="P6" s="151"/>
      <c r="Q6" s="67" t="s">
        <v>124</v>
      </c>
    </row>
    <row r="7" spans="1:17" s="2" customFormat="1">
      <c r="A7" s="162"/>
      <c r="B7" s="165"/>
      <c r="C7" s="168"/>
      <c r="D7" s="168"/>
      <c r="E7" s="171"/>
      <c r="F7" s="81" t="s">
        <v>12</v>
      </c>
      <c r="G7" s="81">
        <v>4</v>
      </c>
      <c r="H7" s="81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68"/>
      <c r="J7" s="168"/>
      <c r="K7" s="168"/>
      <c r="L7" s="168"/>
      <c r="M7" s="168"/>
      <c r="N7" s="168"/>
      <c r="O7" s="154"/>
      <c r="P7" s="151"/>
      <c r="Q7" s="67" t="s">
        <v>124</v>
      </c>
    </row>
    <row r="8" spans="1:17" s="2" customFormat="1">
      <c r="A8" s="162"/>
      <c r="B8" s="165"/>
      <c r="C8" s="168"/>
      <c r="D8" s="168"/>
      <c r="E8" s="171"/>
      <c r="F8" s="81" t="s">
        <v>13</v>
      </c>
      <c r="G8" s="81">
        <v>6</v>
      </c>
      <c r="H8" s="81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68"/>
      <c r="J8" s="168"/>
      <c r="K8" s="168"/>
      <c r="L8" s="168"/>
      <c r="M8" s="168"/>
      <c r="N8" s="168"/>
      <c r="O8" s="154"/>
      <c r="P8" s="151"/>
      <c r="Q8" s="67" t="s">
        <v>124</v>
      </c>
    </row>
    <row r="9" spans="1:17" s="2" customFormat="1" ht="17.25" thickBot="1">
      <c r="A9" s="163"/>
      <c r="B9" s="166"/>
      <c r="C9" s="169"/>
      <c r="D9" s="169"/>
      <c r="E9" s="172"/>
      <c r="F9" s="82" t="s">
        <v>18</v>
      </c>
      <c r="G9" s="82">
        <v>15</v>
      </c>
      <c r="H9" s="82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69"/>
      <c r="J9" s="169"/>
      <c r="K9" s="169"/>
      <c r="L9" s="169"/>
      <c r="M9" s="169"/>
      <c r="N9" s="169"/>
      <c r="O9" s="158"/>
      <c r="P9" s="160"/>
      <c r="Q9" s="69" t="s">
        <v>124</v>
      </c>
    </row>
    <row r="10" spans="1:17">
      <c r="A10" s="186" t="s">
        <v>6</v>
      </c>
      <c r="B10" s="184" t="str">
        <f t="shared" si="0"/>
        <v>구매</v>
      </c>
      <c r="C10" s="183">
        <f>IFERROR(VLOOKUP(A10,'거래소 최저가'!F:G,2,FALSE),0)</f>
        <v>0</v>
      </c>
      <c r="D10" s="183">
        <f t="shared" si="1"/>
        <v>1</v>
      </c>
      <c r="E10" s="185">
        <f t="shared" si="2"/>
        <v>0.19600000000006426</v>
      </c>
      <c r="F10" s="84" t="s">
        <v>0</v>
      </c>
      <c r="G10" s="84">
        <v>10</v>
      </c>
      <c r="H10" s="84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83">
        <f>IF(ISBLANK(A10),"",SUM(H10:H$207)-SUM(I11:I$207))</f>
        <v>0.58800000000019281</v>
      </c>
      <c r="J10" s="183">
        <v>1</v>
      </c>
      <c r="K10" s="183">
        <f>IF(J10=1,1,INT(J10*(1-IF(Q10="배틀아이템",검색!$I$23,IF(Q10="요리",검색!$J$23,IF(Q10="특수",검색!$K$23,IF(Q10="생활도구",검색!$L$23))))*0.01)))</f>
        <v>1</v>
      </c>
      <c r="L10" s="183">
        <v>3</v>
      </c>
      <c r="M10" s="183">
        <f>L10*(1+0.01*IF(Q10="배틀아이템",검색!$I$21,IF(Q10="요리",검색!$J$21,IF(Q10="특수",검색!$K$21,IF(Q10="생활도구",검색!$L$21)))))</f>
        <v>3</v>
      </c>
      <c r="N10" s="183">
        <f t="shared" si="3"/>
        <v>-3.5880000000001928</v>
      </c>
      <c r="O10" s="190">
        <f t="shared" si="4"/>
        <v>-35880.000000001928</v>
      </c>
      <c r="P10" s="150">
        <f t="shared" si="5"/>
        <v>-65880.000000001921</v>
      </c>
      <c r="Q10" s="66" t="s">
        <v>125</v>
      </c>
    </row>
    <row r="11" spans="1:17">
      <c r="A11" s="162"/>
      <c r="B11" s="165"/>
      <c r="C11" s="168"/>
      <c r="D11" s="168"/>
      <c r="E11" s="171"/>
      <c r="F11" s="81" t="s">
        <v>7</v>
      </c>
      <c r="G11" s="81">
        <v>5</v>
      </c>
      <c r="H11" s="81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68"/>
      <c r="J11" s="168"/>
      <c r="K11" s="168"/>
      <c r="L11" s="168"/>
      <c r="M11" s="168"/>
      <c r="N11" s="168"/>
      <c r="O11" s="154"/>
      <c r="P11" s="151"/>
      <c r="Q11" s="67" t="s">
        <v>125</v>
      </c>
    </row>
    <row r="12" spans="1:17" s="2" customFormat="1" ht="17.25" thickBot="1">
      <c r="A12" s="173"/>
      <c r="B12" s="174"/>
      <c r="C12" s="175"/>
      <c r="D12" s="175"/>
      <c r="E12" s="176"/>
      <c r="F12" s="83" t="s">
        <v>108</v>
      </c>
      <c r="G12" s="83">
        <v>1176</v>
      </c>
      <c r="H12" s="83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75"/>
      <c r="J12" s="175"/>
      <c r="K12" s="175"/>
      <c r="L12" s="175"/>
      <c r="M12" s="175"/>
      <c r="N12" s="175"/>
      <c r="O12" s="155"/>
      <c r="P12" s="160"/>
      <c r="Q12" s="69" t="s">
        <v>125</v>
      </c>
    </row>
    <row r="13" spans="1:17">
      <c r="A13" s="161" t="s">
        <v>9</v>
      </c>
      <c r="B13" s="164" t="str">
        <f t="shared" si="0"/>
        <v>구매</v>
      </c>
      <c r="C13" s="167">
        <f>IFERROR(VLOOKUP(A13,'거래소 최저가'!F:G,2,FALSE),0)</f>
        <v>0</v>
      </c>
      <c r="D13" s="167">
        <f t="shared" si="1"/>
        <v>1</v>
      </c>
      <c r="E13" s="170">
        <f t="shared" si="2"/>
        <v>5</v>
      </c>
      <c r="F13" s="80" t="s">
        <v>0</v>
      </c>
      <c r="G13" s="80">
        <v>18</v>
      </c>
      <c r="H13" s="80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67">
        <f>IF(ISBLANK(A13),"",SUM(H13:H$207)-SUM(I14:I$207))</f>
        <v>15</v>
      </c>
      <c r="J13" s="167">
        <v>144</v>
      </c>
      <c r="K13" s="167">
        <f>IF(J13=1,1,INT(J13*(1-IF(Q13="배틀아이템",검색!$I$23,IF(Q13="요리",검색!$J$23,IF(Q13="특수",검색!$K$23,IF(Q13="생활도구",검색!$L$23))))*0.01)))</f>
        <v>144</v>
      </c>
      <c r="L13" s="167">
        <v>3</v>
      </c>
      <c r="M13" s="167">
        <f>L13*(1+0.01*IF(Q13="배틀아이템",검색!$I$21,IF(Q13="요리",검색!$J$21,IF(Q13="특수",검색!$K$21,IF(Q13="생활도구",검색!$L$21)))))</f>
        <v>3</v>
      </c>
      <c r="N13" s="167">
        <f t="shared" si="3"/>
        <v>-0.125</v>
      </c>
      <c r="O13" s="153">
        <f t="shared" si="4"/>
        <v>-1250</v>
      </c>
      <c r="P13" s="150">
        <f t="shared" si="5"/>
        <v>-1458.3333333333335</v>
      </c>
      <c r="Q13" s="66" t="s">
        <v>125</v>
      </c>
    </row>
    <row r="14" spans="1:17">
      <c r="A14" s="162"/>
      <c r="B14" s="165"/>
      <c r="C14" s="168"/>
      <c r="D14" s="168"/>
      <c r="E14" s="171"/>
      <c r="F14" s="81" t="s">
        <v>7</v>
      </c>
      <c r="G14" s="81">
        <v>9</v>
      </c>
      <c r="H14" s="81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68"/>
      <c r="J14" s="168"/>
      <c r="K14" s="168"/>
      <c r="L14" s="168"/>
      <c r="M14" s="168"/>
      <c r="N14" s="168"/>
      <c r="O14" s="154"/>
      <c r="P14" s="151"/>
      <c r="Q14" s="67" t="s">
        <v>125</v>
      </c>
    </row>
    <row r="15" spans="1:17" s="2" customFormat="1" ht="17.25" thickBot="1">
      <c r="A15" s="173"/>
      <c r="B15" s="174"/>
      <c r="C15" s="175"/>
      <c r="D15" s="175"/>
      <c r="E15" s="176"/>
      <c r="F15" s="83" t="s">
        <v>18</v>
      </c>
      <c r="G15" s="83">
        <v>15</v>
      </c>
      <c r="H15" s="83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75"/>
      <c r="J15" s="175"/>
      <c r="K15" s="175"/>
      <c r="L15" s="175"/>
      <c r="M15" s="175"/>
      <c r="N15" s="175"/>
      <c r="O15" s="155"/>
      <c r="P15" s="160"/>
      <c r="Q15" s="69" t="s">
        <v>125</v>
      </c>
    </row>
    <row r="16" spans="1:17">
      <c r="A16" s="161" t="s">
        <v>16</v>
      </c>
      <c r="B16" s="164" t="str">
        <f t="shared" si="0"/>
        <v>구매</v>
      </c>
      <c r="C16" s="167">
        <f>IFERROR(VLOOKUP(A16,'거래소 최저가'!F:G,2,FALSE),0)</f>
        <v>0</v>
      </c>
      <c r="D16" s="167">
        <f t="shared" si="1"/>
        <v>1</v>
      </c>
      <c r="E16" s="170">
        <f t="shared" si="2"/>
        <v>10</v>
      </c>
      <c r="F16" s="80" t="s">
        <v>0</v>
      </c>
      <c r="G16" s="80">
        <v>48</v>
      </c>
      <c r="H16" s="80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67">
        <f>IF(ISBLANK(A16),"",SUM(H16:H$207)-SUM(I17:I$207))</f>
        <v>30</v>
      </c>
      <c r="J16" s="167">
        <v>288</v>
      </c>
      <c r="K16" s="167">
        <f>IF(J16=1,1,INT(J16*(1-IF(Q16="배틀아이템",검색!$I$23,IF(Q16="요리",검색!$J$23,IF(Q16="특수",검색!$K$23,IF(Q16="생활도구",검색!$L$23))))*0.01)))</f>
        <v>288</v>
      </c>
      <c r="L16" s="167">
        <v>3</v>
      </c>
      <c r="M16" s="167">
        <f>L16*(1+0.01*IF(Q16="배틀아이템",검색!$I$21,IF(Q16="요리",검색!$J$21,IF(Q16="특수",검색!$K$21,IF(Q16="생활도구",검색!$L$21)))))</f>
        <v>3</v>
      </c>
      <c r="N16" s="167">
        <f t="shared" si="3"/>
        <v>-0.11458333333333333</v>
      </c>
      <c r="O16" s="153">
        <f t="shared" si="4"/>
        <v>-1145.8333333333333</v>
      </c>
      <c r="P16" s="150">
        <f t="shared" si="5"/>
        <v>-1250</v>
      </c>
      <c r="Q16" s="66" t="s">
        <v>125</v>
      </c>
    </row>
    <row r="17" spans="1:17">
      <c r="A17" s="162"/>
      <c r="B17" s="165"/>
      <c r="C17" s="168"/>
      <c r="D17" s="168"/>
      <c r="E17" s="171"/>
      <c r="F17" s="81" t="s">
        <v>7</v>
      </c>
      <c r="G17" s="81">
        <v>54</v>
      </c>
      <c r="H17" s="81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68"/>
      <c r="J17" s="168"/>
      <c r="K17" s="168"/>
      <c r="L17" s="168"/>
      <c r="M17" s="168"/>
      <c r="N17" s="168"/>
      <c r="O17" s="154"/>
      <c r="P17" s="151"/>
      <c r="Q17" s="67" t="s">
        <v>125</v>
      </c>
    </row>
    <row r="18" spans="1:17">
      <c r="A18" s="162"/>
      <c r="B18" s="165"/>
      <c r="C18" s="168"/>
      <c r="D18" s="168"/>
      <c r="E18" s="171"/>
      <c r="F18" s="81" t="s">
        <v>17</v>
      </c>
      <c r="G18" s="81">
        <v>6</v>
      </c>
      <c r="H18" s="81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68"/>
      <c r="J18" s="168"/>
      <c r="K18" s="168"/>
      <c r="L18" s="168"/>
      <c r="M18" s="168"/>
      <c r="N18" s="168"/>
      <c r="O18" s="154"/>
      <c r="P18" s="151"/>
      <c r="Q18" s="67" t="s">
        <v>125</v>
      </c>
    </row>
    <row r="19" spans="1:17" ht="17.25" thickBot="1">
      <c r="A19" s="173"/>
      <c r="B19" s="174"/>
      <c r="C19" s="175"/>
      <c r="D19" s="175"/>
      <c r="E19" s="176"/>
      <c r="F19" s="83" t="s">
        <v>18</v>
      </c>
      <c r="G19" s="83">
        <v>30</v>
      </c>
      <c r="H19" s="83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75"/>
      <c r="J19" s="175"/>
      <c r="K19" s="175"/>
      <c r="L19" s="175"/>
      <c r="M19" s="175"/>
      <c r="N19" s="175"/>
      <c r="O19" s="155"/>
      <c r="P19" s="160"/>
      <c r="Q19" s="69" t="s">
        <v>125</v>
      </c>
    </row>
    <row r="20" spans="1:17">
      <c r="A20" s="161" t="s">
        <v>22</v>
      </c>
      <c r="B20" s="164" t="str">
        <f t="shared" si="0"/>
        <v>구매</v>
      </c>
      <c r="C20" s="167">
        <f>IFERROR(VLOOKUP(A20,'거래소 최저가'!F:G,2,FALSE),0)</f>
        <v>0</v>
      </c>
      <c r="D20" s="167">
        <f t="shared" si="1"/>
        <v>1</v>
      </c>
      <c r="E20" s="170">
        <f t="shared" si="2"/>
        <v>6.7666666666666666</v>
      </c>
      <c r="F20" s="80" t="s">
        <v>23</v>
      </c>
      <c r="G20" s="80">
        <v>72</v>
      </c>
      <c r="H20" s="80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67">
        <f>IF(ISBLANK(A20),"",SUM(H20:H$207)-SUM(I21:I$207))</f>
        <v>203</v>
      </c>
      <c r="J20" s="167">
        <v>144</v>
      </c>
      <c r="K20" s="167">
        <f>IF(J20=1,1,INT(J20*(1-IF(Q20="배틀아이템",검색!$I$23,IF(Q20="요리",검색!$J$23,IF(Q20="특수",검색!$K$23,IF(Q20="생활도구",검색!$L$23))))*0.01)))</f>
        <v>144</v>
      </c>
      <c r="L20" s="167">
        <v>30</v>
      </c>
      <c r="M20" s="167">
        <f>L20*(1+0.01*IF(Q20="배틀아이템",검색!$I$21,IF(Q20="요리",검색!$J$21,IF(Q20="특수",검색!$K$21,IF(Q20="생활도구",검색!$L$21)))))</f>
        <v>30</v>
      </c>
      <c r="N20" s="167">
        <f t="shared" si="3"/>
        <v>-1.6180555555555556</v>
      </c>
      <c r="O20" s="153">
        <f t="shared" si="4"/>
        <v>-16180.555555555557</v>
      </c>
      <c r="P20" s="150">
        <f t="shared" si="5"/>
        <v>-18263.888888888887</v>
      </c>
      <c r="Q20" s="66" t="s">
        <v>127</v>
      </c>
    </row>
    <row r="21" spans="1:17" s="5" customFormat="1">
      <c r="A21" s="162"/>
      <c r="B21" s="165"/>
      <c r="C21" s="168"/>
      <c r="D21" s="168"/>
      <c r="E21" s="171"/>
      <c r="F21" s="81" t="s">
        <v>24</v>
      </c>
      <c r="G21" s="81">
        <v>9</v>
      </c>
      <c r="H21" s="81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68"/>
      <c r="J21" s="168"/>
      <c r="K21" s="168"/>
      <c r="L21" s="168"/>
      <c r="M21" s="168"/>
      <c r="N21" s="168"/>
      <c r="O21" s="154"/>
      <c r="P21" s="151"/>
      <c r="Q21" s="67" t="s">
        <v>127</v>
      </c>
    </row>
    <row r="22" spans="1:17" s="5" customFormat="1">
      <c r="A22" s="162"/>
      <c r="B22" s="165"/>
      <c r="C22" s="168"/>
      <c r="D22" s="168"/>
      <c r="E22" s="171"/>
      <c r="F22" s="81" t="s">
        <v>25</v>
      </c>
      <c r="G22" s="81">
        <v>36</v>
      </c>
      <c r="H22" s="81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68"/>
      <c r="J22" s="168"/>
      <c r="K22" s="168"/>
      <c r="L22" s="168"/>
      <c r="M22" s="168"/>
      <c r="N22" s="168"/>
      <c r="O22" s="154"/>
      <c r="P22" s="151"/>
      <c r="Q22" s="67" t="s">
        <v>127</v>
      </c>
    </row>
    <row r="23" spans="1:17" s="5" customFormat="1" ht="17.25" thickBot="1">
      <c r="A23" s="163"/>
      <c r="B23" s="166"/>
      <c r="C23" s="169"/>
      <c r="D23" s="169"/>
      <c r="E23" s="172"/>
      <c r="F23" s="82" t="s">
        <v>18</v>
      </c>
      <c r="G23" s="82">
        <v>203</v>
      </c>
      <c r="H23" s="82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69"/>
      <c r="J23" s="169"/>
      <c r="K23" s="169"/>
      <c r="L23" s="169"/>
      <c r="M23" s="169"/>
      <c r="N23" s="169"/>
      <c r="O23" s="158"/>
      <c r="P23" s="160"/>
      <c r="Q23" s="69" t="s">
        <v>127</v>
      </c>
    </row>
    <row r="24" spans="1:17" s="5" customFormat="1">
      <c r="A24" s="186" t="s">
        <v>26</v>
      </c>
      <c r="B24" s="184" t="str">
        <f t="shared" si="0"/>
        <v>구매</v>
      </c>
      <c r="C24" s="183">
        <f>IFERROR(VLOOKUP(A24,'거래소 최저가'!F:G,2,FALSE),0)</f>
        <v>0</v>
      </c>
      <c r="D24" s="180">
        <f t="shared" si="1"/>
        <v>1</v>
      </c>
      <c r="E24" s="185">
        <f t="shared" si="2"/>
        <v>6.7666666666666666</v>
      </c>
      <c r="F24" s="84" t="s">
        <v>27</v>
      </c>
      <c r="G24" s="84">
        <v>72</v>
      </c>
      <c r="H24" s="84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83">
        <f>IF(ISBLANK(A24),"",SUM(H24:H$207)-SUM(I25:I$207))</f>
        <v>203</v>
      </c>
      <c r="J24" s="183">
        <v>144</v>
      </c>
      <c r="K24" s="183">
        <f>IF(J24=1,1,INT(J24*(1-IF(Q24="배틀아이템",검색!$I$23,IF(Q24="요리",검색!$J$23,IF(Q24="특수",검색!$K$23,IF(Q24="생활도구",검색!$L$23))))*0.01)))</f>
        <v>144</v>
      </c>
      <c r="L24" s="183">
        <v>30</v>
      </c>
      <c r="M24" s="183">
        <f>L24*(1+0.01*IF(Q24="배틀아이템",검색!$I$21,IF(Q24="요리",검색!$J$21,IF(Q24="특수",검색!$K$21,IF(Q24="생활도구",검색!$L$21)))))</f>
        <v>30</v>
      </c>
      <c r="N24" s="183">
        <f t="shared" si="3"/>
        <v>-1.6180555555555556</v>
      </c>
      <c r="O24" s="190">
        <f t="shared" si="4"/>
        <v>-16180.555555555557</v>
      </c>
      <c r="P24" s="153">
        <f t="shared" si="5"/>
        <v>-18263.888888888887</v>
      </c>
      <c r="Q24" s="66" t="s">
        <v>127</v>
      </c>
    </row>
    <row r="25" spans="1:17" s="5" customFormat="1">
      <c r="A25" s="162"/>
      <c r="B25" s="165"/>
      <c r="C25" s="168"/>
      <c r="D25" s="180"/>
      <c r="E25" s="171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68"/>
      <c r="J25" s="168"/>
      <c r="K25" s="168"/>
      <c r="L25" s="168"/>
      <c r="M25" s="168"/>
      <c r="N25" s="168"/>
      <c r="O25" s="154"/>
      <c r="P25" s="154"/>
      <c r="Q25" s="67" t="s">
        <v>127</v>
      </c>
    </row>
    <row r="26" spans="1:17" s="5" customFormat="1">
      <c r="A26" s="162"/>
      <c r="B26" s="165"/>
      <c r="C26" s="168"/>
      <c r="D26" s="180"/>
      <c r="E26" s="171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68"/>
      <c r="J26" s="168"/>
      <c r="K26" s="168"/>
      <c r="L26" s="168"/>
      <c r="M26" s="168"/>
      <c r="N26" s="168"/>
      <c r="O26" s="154"/>
      <c r="P26" s="154"/>
      <c r="Q26" s="67" t="s">
        <v>127</v>
      </c>
    </row>
    <row r="27" spans="1:17" s="5" customFormat="1" ht="17.25" thickBot="1">
      <c r="A27" s="173"/>
      <c r="B27" s="174"/>
      <c r="C27" s="175"/>
      <c r="D27" s="189"/>
      <c r="E27" s="176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75"/>
      <c r="J27" s="175"/>
      <c r="K27" s="175"/>
      <c r="L27" s="175"/>
      <c r="M27" s="175"/>
      <c r="N27" s="175"/>
      <c r="O27" s="155"/>
      <c r="P27" s="155"/>
      <c r="Q27" s="69" t="s">
        <v>127</v>
      </c>
    </row>
    <row r="28" spans="1:17" s="5" customFormat="1">
      <c r="A28" s="161" t="s">
        <v>29</v>
      </c>
      <c r="B28" s="164" t="str">
        <f t="shared" si="0"/>
        <v>구매</v>
      </c>
      <c r="C28" s="167">
        <f>IFERROR(VLOOKUP(A28,'거래소 최저가'!F:G,2,FALSE),0)</f>
        <v>0</v>
      </c>
      <c r="D28" s="179">
        <f t="shared" si="1"/>
        <v>1</v>
      </c>
      <c r="E28" s="170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67">
        <f>IF(ISBLANK(A28),"",SUM(H28:H$207)-SUM(I29:I$207))</f>
        <v>203</v>
      </c>
      <c r="J28" s="167">
        <v>144</v>
      </c>
      <c r="K28" s="167">
        <f>IF(J28=1,1,INT(J28*(1-IF(Q28="배틀아이템",검색!$I$23,IF(Q28="요리",검색!$J$23,IF(Q28="특수",검색!$K$23,IF(Q28="생활도구",검색!$L$23))))*0.01)))</f>
        <v>144</v>
      </c>
      <c r="L28" s="167">
        <v>30</v>
      </c>
      <c r="M28" s="167">
        <f>L28*(1+0.01*IF(Q28="배틀아이템",검색!$I$21,IF(Q28="요리",검색!$J$21,IF(Q28="특수",검색!$K$21,IF(Q28="생활도구",검색!$L$21)))))</f>
        <v>30</v>
      </c>
      <c r="N28" s="167">
        <f t="shared" si="3"/>
        <v>-1.6180555555555556</v>
      </c>
      <c r="O28" s="153">
        <f t="shared" si="4"/>
        <v>-16180.555555555557</v>
      </c>
      <c r="P28" s="153">
        <f t="shared" si="5"/>
        <v>-18263.888888888887</v>
      </c>
      <c r="Q28" s="66" t="s">
        <v>127</v>
      </c>
    </row>
    <row r="29" spans="1:17" s="5" customFormat="1">
      <c r="A29" s="162"/>
      <c r="B29" s="165"/>
      <c r="C29" s="168"/>
      <c r="D29" s="180"/>
      <c r="E29" s="171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68"/>
      <c r="J29" s="168"/>
      <c r="K29" s="168"/>
      <c r="L29" s="168"/>
      <c r="M29" s="168"/>
      <c r="N29" s="168"/>
      <c r="O29" s="154"/>
      <c r="P29" s="154"/>
      <c r="Q29" s="67" t="s">
        <v>127</v>
      </c>
    </row>
    <row r="30" spans="1:17" s="5" customFormat="1">
      <c r="A30" s="162"/>
      <c r="B30" s="165"/>
      <c r="C30" s="168"/>
      <c r="D30" s="180"/>
      <c r="E30" s="171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68"/>
      <c r="J30" s="168"/>
      <c r="K30" s="168"/>
      <c r="L30" s="168"/>
      <c r="M30" s="168"/>
      <c r="N30" s="168"/>
      <c r="O30" s="154"/>
      <c r="P30" s="154"/>
      <c r="Q30" s="67" t="s">
        <v>127</v>
      </c>
    </row>
    <row r="31" spans="1:17" s="5" customFormat="1" ht="17.25" thickBot="1">
      <c r="A31" s="173"/>
      <c r="B31" s="174"/>
      <c r="C31" s="175"/>
      <c r="D31" s="189"/>
      <c r="E31" s="176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75"/>
      <c r="J31" s="175"/>
      <c r="K31" s="175"/>
      <c r="L31" s="175"/>
      <c r="M31" s="175"/>
      <c r="N31" s="175"/>
      <c r="O31" s="155"/>
      <c r="P31" s="155"/>
      <c r="Q31" s="69" t="s">
        <v>127</v>
      </c>
    </row>
    <row r="32" spans="1:17" s="5" customFormat="1">
      <c r="A32" s="161" t="s">
        <v>33</v>
      </c>
      <c r="B32" s="164" t="str">
        <f t="shared" si="0"/>
        <v>구매</v>
      </c>
      <c r="C32" s="167">
        <f>IFERROR(VLOOKUP(A32,'거래소 최저가'!F:G,2,FALSE),0)</f>
        <v>0</v>
      </c>
      <c r="D32" s="179">
        <f t="shared" si="1"/>
        <v>1</v>
      </c>
      <c r="E32" s="170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67">
        <f>IF(ISBLANK(A32),"",SUM(H32:H$207)-SUM(I33:I$207))</f>
        <v>205</v>
      </c>
      <c r="J32" s="167">
        <v>216</v>
      </c>
      <c r="K32" s="167">
        <f>IF(J32=1,1,INT(J32*(1-IF(Q32="배틀아이템",검색!$I$23,IF(Q32="요리",검색!$J$23,IF(Q32="특수",검색!$K$23,IF(Q32="생활도구",검색!$L$23))))*0.01)))</f>
        <v>216</v>
      </c>
      <c r="L32" s="167">
        <v>30</v>
      </c>
      <c r="M32" s="167">
        <f>L32*(1+0.01*IF(Q32="배틀아이템",검색!$I$21,IF(Q32="요리",검색!$J$21,IF(Q32="특수",검색!$K$21,IF(Q32="생활도구",검색!$L$21)))))</f>
        <v>30</v>
      </c>
      <c r="N32" s="167">
        <f t="shared" si="3"/>
        <v>-1.087962962962963</v>
      </c>
      <c r="O32" s="153">
        <f t="shared" si="4"/>
        <v>-10879.62962962963</v>
      </c>
      <c r="P32" s="153">
        <f t="shared" si="5"/>
        <v>-12268.518518518518</v>
      </c>
      <c r="Q32" s="66" t="s">
        <v>127</v>
      </c>
    </row>
    <row r="33" spans="1:17" s="5" customFormat="1">
      <c r="A33" s="162"/>
      <c r="B33" s="165"/>
      <c r="C33" s="168"/>
      <c r="D33" s="180"/>
      <c r="E33" s="171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68"/>
      <c r="J33" s="168"/>
      <c r="K33" s="168"/>
      <c r="L33" s="168"/>
      <c r="M33" s="168"/>
      <c r="N33" s="168"/>
      <c r="O33" s="154"/>
      <c r="P33" s="154"/>
      <c r="Q33" s="67" t="s">
        <v>127</v>
      </c>
    </row>
    <row r="34" spans="1:17" s="5" customFormat="1">
      <c r="A34" s="162"/>
      <c r="B34" s="165"/>
      <c r="C34" s="168"/>
      <c r="D34" s="180"/>
      <c r="E34" s="171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68"/>
      <c r="J34" s="168"/>
      <c r="K34" s="168"/>
      <c r="L34" s="168"/>
      <c r="M34" s="168"/>
      <c r="N34" s="168"/>
      <c r="O34" s="154"/>
      <c r="P34" s="154"/>
      <c r="Q34" s="67" t="s">
        <v>127</v>
      </c>
    </row>
    <row r="35" spans="1:17" s="5" customFormat="1" ht="17.25" thickBot="1">
      <c r="A35" s="173"/>
      <c r="B35" s="174"/>
      <c r="C35" s="175"/>
      <c r="D35" s="189"/>
      <c r="E35" s="176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75"/>
      <c r="J35" s="175"/>
      <c r="K35" s="175"/>
      <c r="L35" s="175"/>
      <c r="M35" s="175"/>
      <c r="N35" s="175"/>
      <c r="O35" s="155"/>
      <c r="P35" s="155"/>
      <c r="Q35" s="69" t="s">
        <v>127</v>
      </c>
    </row>
    <row r="36" spans="1:17" s="5" customFormat="1">
      <c r="A36" s="161" t="s">
        <v>34</v>
      </c>
      <c r="B36" s="164" t="str">
        <f t="shared" ref="B36:B75" si="6">IFERROR(IF(ISBLANK(A36),"",IF(C36&gt;E36,"제작","구매")),"")</f>
        <v>구매</v>
      </c>
      <c r="C36" s="167">
        <f>IFERROR(VLOOKUP(A36,'거래소 최저가'!F:G,2,FALSE),0)</f>
        <v>0</v>
      </c>
      <c r="D36" s="179">
        <f t="shared" si="1"/>
        <v>1</v>
      </c>
      <c r="E36" s="170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67">
        <f>IF(ISBLANK(A36),"",SUM(H36:H$207)-SUM(I37:I$207))</f>
        <v>205</v>
      </c>
      <c r="J36" s="167">
        <v>216</v>
      </c>
      <c r="K36" s="167">
        <f>IF(J36=1,1,INT(J36*(1-IF(Q36="배틀아이템",검색!$I$23,IF(Q36="요리",검색!$J$23,IF(Q36="특수",검색!$K$23,IF(Q36="생활도구",검색!$L$23))))*0.01)))</f>
        <v>216</v>
      </c>
      <c r="L36" s="167">
        <v>30</v>
      </c>
      <c r="M36" s="167">
        <f>L36*(1+0.01*IF(Q36="배틀아이템",검색!$I$21,IF(Q36="요리",검색!$J$21,IF(Q36="특수",검색!$K$21,IF(Q36="생활도구",검색!$L$21)))))</f>
        <v>30</v>
      </c>
      <c r="N36" s="167">
        <f t="shared" si="3"/>
        <v>-1.087962962962963</v>
      </c>
      <c r="O36" s="153">
        <f t="shared" ref="O36:O75" si="8">N36*10000</f>
        <v>-10879.62962962963</v>
      </c>
      <c r="P36" s="153">
        <f t="shared" si="5"/>
        <v>-12268.518518518518</v>
      </c>
      <c r="Q36" s="66" t="s">
        <v>127</v>
      </c>
    </row>
    <row r="37" spans="1:17" s="5" customFormat="1">
      <c r="A37" s="162"/>
      <c r="B37" s="165"/>
      <c r="C37" s="168"/>
      <c r="D37" s="180"/>
      <c r="E37" s="171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68"/>
      <c r="J37" s="168"/>
      <c r="K37" s="168"/>
      <c r="L37" s="168"/>
      <c r="M37" s="168"/>
      <c r="N37" s="168"/>
      <c r="O37" s="154"/>
      <c r="P37" s="154"/>
      <c r="Q37" s="67" t="s">
        <v>127</v>
      </c>
    </row>
    <row r="38" spans="1:17" s="5" customFormat="1">
      <c r="A38" s="162"/>
      <c r="B38" s="165"/>
      <c r="C38" s="168"/>
      <c r="D38" s="180"/>
      <c r="E38" s="171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68"/>
      <c r="J38" s="168"/>
      <c r="K38" s="168"/>
      <c r="L38" s="168"/>
      <c r="M38" s="168"/>
      <c r="N38" s="168"/>
      <c r="O38" s="154"/>
      <c r="P38" s="154"/>
      <c r="Q38" s="67" t="s">
        <v>127</v>
      </c>
    </row>
    <row r="39" spans="1:17" s="5" customFormat="1" ht="17.25" thickBot="1">
      <c r="A39" s="173"/>
      <c r="B39" s="174"/>
      <c r="C39" s="175"/>
      <c r="D39" s="189"/>
      <c r="E39" s="176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75"/>
      <c r="J39" s="175"/>
      <c r="K39" s="175"/>
      <c r="L39" s="175"/>
      <c r="M39" s="175"/>
      <c r="N39" s="175"/>
      <c r="O39" s="155"/>
      <c r="P39" s="155"/>
      <c r="Q39" s="69" t="s">
        <v>127</v>
      </c>
    </row>
    <row r="40" spans="1:17" s="5" customFormat="1">
      <c r="A40" s="161" t="s">
        <v>35</v>
      </c>
      <c r="B40" s="164" t="str">
        <f t="shared" ref="B40:B44" si="9">IFERROR(IF(ISBLANK(A40),"",IF(C40&gt;E40,"제작","구매")),"")</f>
        <v>구매</v>
      </c>
      <c r="C40" s="167">
        <f>IFERROR(VLOOKUP(A40,'거래소 최저가'!F:G,2,FALSE),0)</f>
        <v>0</v>
      </c>
      <c r="D40" s="179">
        <f t="shared" si="1"/>
        <v>1</v>
      </c>
      <c r="E40" s="170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67">
        <f>IF(ISBLANK(A40),"",SUM(H40:H$207)-SUM(I41:I$207))</f>
        <v>205</v>
      </c>
      <c r="J40" s="167">
        <v>216</v>
      </c>
      <c r="K40" s="167">
        <f>IF(J40=1,1,INT(J40*(1-IF(Q40="배틀아이템",검색!$I$23,IF(Q40="요리",검색!$J$23,IF(Q40="특수",검색!$K$23,IF(Q40="생활도구",검색!$L$23))))*0.01)))</f>
        <v>216</v>
      </c>
      <c r="L40" s="167">
        <v>30</v>
      </c>
      <c r="M40" s="167">
        <f>L40*(1+0.01*IF(Q40="배틀아이템",검색!$I$21,IF(Q40="요리",검색!$J$21,IF(Q40="특수",검색!$K$21,IF(Q40="생활도구",검색!$L$21)))))</f>
        <v>30</v>
      </c>
      <c r="N40" s="167">
        <f t="shared" si="3"/>
        <v>-1.087962962962963</v>
      </c>
      <c r="O40" s="153">
        <f t="shared" ref="O40:O52" si="11">N40*10000</f>
        <v>-10879.62962962963</v>
      </c>
      <c r="P40" s="153">
        <f t="shared" si="5"/>
        <v>-12268.518518518518</v>
      </c>
      <c r="Q40" s="66" t="s">
        <v>127</v>
      </c>
    </row>
    <row r="41" spans="1:17" s="5" customFormat="1">
      <c r="A41" s="162"/>
      <c r="B41" s="165"/>
      <c r="C41" s="168"/>
      <c r="D41" s="180"/>
      <c r="E41" s="171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68"/>
      <c r="J41" s="168"/>
      <c r="K41" s="168"/>
      <c r="L41" s="168"/>
      <c r="M41" s="168"/>
      <c r="N41" s="168"/>
      <c r="O41" s="154"/>
      <c r="P41" s="154"/>
      <c r="Q41" s="67" t="s">
        <v>127</v>
      </c>
    </row>
    <row r="42" spans="1:17" s="5" customFormat="1">
      <c r="A42" s="162"/>
      <c r="B42" s="165"/>
      <c r="C42" s="168"/>
      <c r="D42" s="180"/>
      <c r="E42" s="171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68"/>
      <c r="J42" s="168"/>
      <c r="K42" s="168"/>
      <c r="L42" s="168"/>
      <c r="M42" s="168"/>
      <c r="N42" s="168"/>
      <c r="O42" s="154"/>
      <c r="P42" s="154"/>
      <c r="Q42" s="67" t="s">
        <v>127</v>
      </c>
    </row>
    <row r="43" spans="1:17" s="5" customFormat="1" ht="17.25" thickBot="1">
      <c r="A43" s="173"/>
      <c r="B43" s="174"/>
      <c r="C43" s="175"/>
      <c r="D43" s="180"/>
      <c r="E43" s="176"/>
      <c r="F43" s="38" t="s">
        <v>18</v>
      </c>
      <c r="G43" s="38">
        <v>205</v>
      </c>
      <c r="H43" s="54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75"/>
      <c r="J43" s="175"/>
      <c r="K43" s="175"/>
      <c r="L43" s="175"/>
      <c r="M43" s="175"/>
      <c r="N43" s="175"/>
      <c r="O43" s="155"/>
      <c r="P43" s="155"/>
      <c r="Q43" s="69" t="s">
        <v>127</v>
      </c>
    </row>
    <row r="44" spans="1:17" s="5" customFormat="1">
      <c r="A44" s="177" t="s">
        <v>121</v>
      </c>
      <c r="B44" s="164" t="str">
        <f t="shared" si="9"/>
        <v>구매</v>
      </c>
      <c r="C44" s="179">
        <f>IFERROR(VLOOKUP(A44,'거래소 최저가'!F:G,2,FALSE),0)</f>
        <v>0</v>
      </c>
      <c r="D44" s="179">
        <f t="shared" si="1"/>
        <v>1</v>
      </c>
      <c r="E44" s="181">
        <f t="shared" si="10"/>
        <v>12.5</v>
      </c>
      <c r="F44" s="52" t="s">
        <v>23</v>
      </c>
      <c r="G44" s="52">
        <v>128</v>
      </c>
      <c r="H44" s="56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79">
        <f>IF(ISBLANK(A44),"",SUM(H44:H$207)-SUM(I45:I$207))</f>
        <v>250</v>
      </c>
      <c r="J44" s="179">
        <v>288</v>
      </c>
      <c r="K44" s="179">
        <f>IF(J44=1,1,INT(J44*(1-IF(Q44="배틀아이템",검색!$I$23,IF(Q44="요리",검색!$J$23,IF(Q44="특수",검색!$K$23,IF(Q44="생활도구",검색!$L$23))))*0.01)))</f>
        <v>288</v>
      </c>
      <c r="L44" s="179">
        <v>20</v>
      </c>
      <c r="M44" s="179">
        <f>L44*(1+0.01*IF(Q44="배틀아이템",검색!$I$21,IF(Q44="요리",검색!$J$21,IF(Q44="특수",검색!$K$21,IF(Q44="생활도구",검색!$L$21)))))</f>
        <v>20</v>
      </c>
      <c r="N44" s="179">
        <f t="shared" si="3"/>
        <v>-0.9375</v>
      </c>
      <c r="O44" s="156">
        <f t="shared" si="11"/>
        <v>-9375</v>
      </c>
      <c r="P44" s="156">
        <f t="shared" si="5"/>
        <v>-10069.444444444443</v>
      </c>
      <c r="Q44" s="70" t="s">
        <v>127</v>
      </c>
    </row>
    <row r="45" spans="1:17" s="5" customFormat="1">
      <c r="A45" s="178"/>
      <c r="B45" s="165"/>
      <c r="C45" s="180"/>
      <c r="D45" s="180"/>
      <c r="E45" s="182"/>
      <c r="F45" s="53" t="s">
        <v>25</v>
      </c>
      <c r="G45" s="53">
        <v>64</v>
      </c>
      <c r="H45" s="57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80"/>
      <c r="J45" s="180"/>
      <c r="K45" s="180"/>
      <c r="L45" s="180"/>
      <c r="M45" s="180"/>
      <c r="N45" s="180"/>
      <c r="O45" s="157"/>
      <c r="P45" s="157"/>
      <c r="Q45" s="71" t="s">
        <v>127</v>
      </c>
    </row>
    <row r="46" spans="1:17" s="5" customFormat="1">
      <c r="A46" s="178"/>
      <c r="B46" s="165"/>
      <c r="C46" s="180"/>
      <c r="D46" s="180"/>
      <c r="E46" s="182"/>
      <c r="F46" s="53" t="s">
        <v>24</v>
      </c>
      <c r="G46" s="53">
        <v>16</v>
      </c>
      <c r="H46" s="57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80"/>
      <c r="J46" s="180"/>
      <c r="K46" s="180"/>
      <c r="L46" s="180"/>
      <c r="M46" s="180"/>
      <c r="N46" s="180"/>
      <c r="O46" s="157"/>
      <c r="P46" s="157"/>
      <c r="Q46" s="71" t="s">
        <v>127</v>
      </c>
    </row>
    <row r="47" spans="1:17" s="5" customFormat="1" ht="17.25" thickBot="1">
      <c r="A47" s="178"/>
      <c r="B47" s="174"/>
      <c r="C47" s="180"/>
      <c r="D47" s="180"/>
      <c r="E47" s="182"/>
      <c r="F47" s="54" t="s">
        <v>18</v>
      </c>
      <c r="G47" s="54">
        <v>250</v>
      </c>
      <c r="H47" s="57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80"/>
      <c r="J47" s="180"/>
      <c r="K47" s="180"/>
      <c r="L47" s="180"/>
      <c r="M47" s="180"/>
      <c r="N47" s="180"/>
      <c r="O47" s="157"/>
      <c r="P47" s="157"/>
      <c r="Q47" s="71" t="s">
        <v>127</v>
      </c>
    </row>
    <row r="48" spans="1:17" s="5" customFormat="1">
      <c r="A48" s="161" t="s">
        <v>122</v>
      </c>
      <c r="B48" s="164" t="str">
        <f t="shared" ref="B48" si="12">IFERROR(IF(ISBLANK(A48),"",IF(C48&gt;E48,"제작","구매")),"")</f>
        <v>구매</v>
      </c>
      <c r="C48" s="167">
        <f>IFERROR(VLOOKUP(A48,'거래소 최저가'!F:G,2,FALSE),0)</f>
        <v>0</v>
      </c>
      <c r="D48" s="167">
        <f t="shared" si="1"/>
        <v>1</v>
      </c>
      <c r="E48" s="170">
        <f t="shared" ref="E48" si="13">IFERROR(IF(ISBLANK(A48),"",I48/L48),"")</f>
        <v>12.499999999999995</v>
      </c>
      <c r="F48" s="52" t="s">
        <v>27</v>
      </c>
      <c r="G48" s="52">
        <v>128</v>
      </c>
      <c r="H48" s="52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67">
        <f>IF(ISBLANK(A48),"",SUM(H48:H$207)-SUM(I49:I$207))</f>
        <v>249.99999999999989</v>
      </c>
      <c r="J48" s="167">
        <v>288</v>
      </c>
      <c r="K48" s="167">
        <f>IF(J48=1,1,INT(J48*(1-IF(Q48="배틀아이템",검색!$I$23,IF(Q48="요리",검색!$J$23,IF(Q48="특수",검색!$K$23,IF(Q48="생활도구",검색!$L$23))))*0.01)))</f>
        <v>288</v>
      </c>
      <c r="L48" s="167">
        <v>20</v>
      </c>
      <c r="M48" s="167">
        <f>L48*(1+0.01*IF(Q48="배틀아이템",검색!$I$21,IF(Q48="요리",검색!$J$21,IF(Q48="특수",검색!$K$21,IF(Q48="생활도구",검색!$L$21)))))</f>
        <v>20</v>
      </c>
      <c r="N48" s="167">
        <f t="shared" si="3"/>
        <v>-0.93749999999999956</v>
      </c>
      <c r="O48" s="153">
        <f t="shared" si="11"/>
        <v>-9374.9999999999964</v>
      </c>
      <c r="P48" s="153">
        <f t="shared" si="5"/>
        <v>-10069.44444444444</v>
      </c>
      <c r="Q48" s="66" t="s">
        <v>127</v>
      </c>
    </row>
    <row r="49" spans="1:17" s="5" customFormat="1">
      <c r="A49" s="162"/>
      <c r="B49" s="165"/>
      <c r="C49" s="168"/>
      <c r="D49" s="168"/>
      <c r="E49" s="171"/>
      <c r="F49" s="53" t="s">
        <v>1</v>
      </c>
      <c r="G49" s="53">
        <v>64</v>
      </c>
      <c r="H49" s="53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68"/>
      <c r="J49" s="168"/>
      <c r="K49" s="168"/>
      <c r="L49" s="168"/>
      <c r="M49" s="168"/>
      <c r="N49" s="168"/>
      <c r="O49" s="154"/>
      <c r="P49" s="154"/>
      <c r="Q49" s="67" t="s">
        <v>127</v>
      </c>
    </row>
    <row r="50" spans="1:17" s="5" customFormat="1">
      <c r="A50" s="162"/>
      <c r="B50" s="165"/>
      <c r="C50" s="168"/>
      <c r="D50" s="168"/>
      <c r="E50" s="171"/>
      <c r="F50" s="53" t="s">
        <v>28</v>
      </c>
      <c r="G50" s="53">
        <v>16</v>
      </c>
      <c r="H50" s="53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68"/>
      <c r="J50" s="168"/>
      <c r="K50" s="168"/>
      <c r="L50" s="168"/>
      <c r="M50" s="168"/>
      <c r="N50" s="168"/>
      <c r="O50" s="154"/>
      <c r="P50" s="154"/>
      <c r="Q50" s="67" t="s">
        <v>127</v>
      </c>
    </row>
    <row r="51" spans="1:17" s="5" customFormat="1" ht="17.25" thickBot="1">
      <c r="A51" s="173"/>
      <c r="B51" s="174"/>
      <c r="C51" s="175"/>
      <c r="D51" s="175"/>
      <c r="E51" s="176"/>
      <c r="F51" s="54" t="s">
        <v>18</v>
      </c>
      <c r="G51" s="54">
        <v>250</v>
      </c>
      <c r="H51" s="54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75"/>
      <c r="J51" s="175"/>
      <c r="K51" s="175"/>
      <c r="L51" s="175"/>
      <c r="M51" s="175"/>
      <c r="N51" s="175"/>
      <c r="O51" s="155"/>
      <c r="P51" s="155"/>
      <c r="Q51" s="69" t="s">
        <v>127</v>
      </c>
    </row>
    <row r="52" spans="1:17" s="5" customFormat="1">
      <c r="A52" s="161" t="s">
        <v>123</v>
      </c>
      <c r="B52" s="164" t="str">
        <f t="shared" ref="B52" si="14">IFERROR(IF(ISBLANK(A52),"",IF(C52&gt;E52,"제작","구매")),"")</f>
        <v>구매</v>
      </c>
      <c r="C52" s="167">
        <f>IFERROR(VLOOKUP(A52,'거래소 최저가'!F:G,2,FALSE),0)</f>
        <v>0</v>
      </c>
      <c r="D52" s="167">
        <f t="shared" si="1"/>
        <v>1</v>
      </c>
      <c r="E52" s="170">
        <f t="shared" ref="E52" si="15">IFERROR(IF(ISBLANK(A52),"",I52/L52),"")</f>
        <v>12.5</v>
      </c>
      <c r="F52" s="52" t="s">
        <v>30</v>
      </c>
      <c r="G52" s="52">
        <v>94</v>
      </c>
      <c r="H52" s="52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67">
        <f>IF(ISBLANK(A52),"",SUM(H52:H$207)-SUM(I53:I$207))</f>
        <v>250</v>
      </c>
      <c r="J52" s="167">
        <v>288</v>
      </c>
      <c r="K52" s="167">
        <f>IF(J52=1,1,INT(J52*(1-IF(Q52="배틀아이템",검색!$I$23,IF(Q52="요리",검색!$J$23,IF(Q52="특수",검색!$K$23,IF(Q52="생활도구",검색!$L$23))))*0.01)))</f>
        <v>288</v>
      </c>
      <c r="L52" s="167">
        <v>20</v>
      </c>
      <c r="M52" s="167">
        <f>L52*(1+0.01*IF(Q52="배틀아이템",검색!$I$21,IF(Q52="요리",검색!$J$21,IF(Q52="특수",검색!$K$21,IF(Q52="생활도구",검색!$L$21)))))</f>
        <v>20</v>
      </c>
      <c r="N52" s="167">
        <f t="shared" si="3"/>
        <v>-0.9375</v>
      </c>
      <c r="O52" s="153">
        <f t="shared" si="11"/>
        <v>-9375</v>
      </c>
      <c r="P52" s="153">
        <f t="shared" si="5"/>
        <v>-10069.444444444443</v>
      </c>
      <c r="Q52" s="66" t="s">
        <v>127</v>
      </c>
    </row>
    <row r="53" spans="1:17" s="5" customFormat="1">
      <c r="A53" s="162"/>
      <c r="B53" s="165"/>
      <c r="C53" s="168"/>
      <c r="D53" s="168"/>
      <c r="E53" s="171"/>
      <c r="F53" s="53" t="s">
        <v>31</v>
      </c>
      <c r="G53" s="53">
        <v>29</v>
      </c>
      <c r="H53" s="53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68"/>
      <c r="J53" s="168"/>
      <c r="K53" s="168"/>
      <c r="L53" s="168"/>
      <c r="M53" s="168"/>
      <c r="N53" s="168"/>
      <c r="O53" s="154"/>
      <c r="P53" s="154"/>
      <c r="Q53" s="67" t="s">
        <v>127</v>
      </c>
    </row>
    <row r="54" spans="1:17" s="5" customFormat="1">
      <c r="A54" s="162"/>
      <c r="B54" s="165"/>
      <c r="C54" s="168"/>
      <c r="D54" s="168"/>
      <c r="E54" s="171"/>
      <c r="F54" s="53" t="s">
        <v>32</v>
      </c>
      <c r="G54" s="53">
        <v>16</v>
      </c>
      <c r="H54" s="53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68"/>
      <c r="J54" s="168"/>
      <c r="K54" s="168"/>
      <c r="L54" s="168"/>
      <c r="M54" s="168"/>
      <c r="N54" s="168"/>
      <c r="O54" s="154"/>
      <c r="P54" s="154"/>
      <c r="Q54" s="67" t="s">
        <v>127</v>
      </c>
    </row>
    <row r="55" spans="1:17" s="5" customFormat="1" ht="17.25" thickBot="1">
      <c r="A55" s="163"/>
      <c r="B55" s="166"/>
      <c r="C55" s="169"/>
      <c r="D55" s="169"/>
      <c r="E55" s="172"/>
      <c r="F55" s="55" t="s">
        <v>18</v>
      </c>
      <c r="G55" s="55">
        <v>250</v>
      </c>
      <c r="H55" s="55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69"/>
      <c r="J55" s="169"/>
      <c r="K55" s="169"/>
      <c r="L55" s="169"/>
      <c r="M55" s="169"/>
      <c r="N55" s="169"/>
      <c r="O55" s="158"/>
      <c r="P55" s="158"/>
      <c r="Q55" s="68" t="s">
        <v>127</v>
      </c>
    </row>
    <row r="56" spans="1:17" s="5" customFormat="1">
      <c r="A56" s="161" t="s">
        <v>146</v>
      </c>
      <c r="B56" s="164" t="str">
        <f t="shared" si="6"/>
        <v>구매</v>
      </c>
      <c r="C56" s="167">
        <f>IFERROR(VLOOKUP(A56,'거래소 최저가'!F:G,2,FALSE),0)</f>
        <v>0</v>
      </c>
      <c r="D56" s="179">
        <f t="shared" si="1"/>
        <v>1</v>
      </c>
      <c r="E56" s="170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67">
        <f>IF(ISBLANK(A56),"",SUM(H56:H$207)-SUM(I57:I$207))</f>
        <v>1.2250000000000227</v>
      </c>
      <c r="J56" s="167">
        <v>288</v>
      </c>
      <c r="K56" s="167">
        <f>IF(J56=1,1,INT(J56*(1-IF(Q56="배틀아이템",검색!$I$23,IF(Q56="요리",검색!$J$23,IF(Q56="특수",검색!$K$23,IF(Q56="생활도구",검색!$L$23))))*0.01)))</f>
        <v>288</v>
      </c>
      <c r="L56" s="167">
        <v>1</v>
      </c>
      <c r="M56" s="167">
        <f>L56*(1+0.01*IF(Q56="배틀아이템",검색!$I$21,IF(Q56="요리",검색!$J$21,IF(Q56="특수",검색!$K$21,IF(Q56="생활도구",검색!$L$21)))))</f>
        <v>1</v>
      </c>
      <c r="N56" s="167">
        <f t="shared" si="3"/>
        <v>-7.7256944444445237E-3</v>
      </c>
      <c r="O56" s="153">
        <f t="shared" si="8"/>
        <v>-77.256944444445239</v>
      </c>
      <c r="P56" s="153">
        <f t="shared" si="5"/>
        <v>-111.97916666666745</v>
      </c>
      <c r="Q56" s="66" t="s">
        <v>126</v>
      </c>
    </row>
    <row r="57" spans="1:17" s="5" customFormat="1">
      <c r="A57" s="187"/>
      <c r="B57" s="165"/>
      <c r="C57" s="168"/>
      <c r="D57" s="180"/>
      <c r="E57" s="171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68"/>
      <c r="J57" s="168"/>
      <c r="K57" s="168"/>
      <c r="L57" s="168"/>
      <c r="M57" s="168"/>
      <c r="N57" s="168"/>
      <c r="O57" s="154"/>
      <c r="P57" s="154"/>
      <c r="Q57" s="67" t="s">
        <v>126</v>
      </c>
    </row>
    <row r="58" spans="1:17" s="5" customFormat="1">
      <c r="A58" s="187"/>
      <c r="B58" s="165"/>
      <c r="C58" s="168"/>
      <c r="D58" s="180"/>
      <c r="E58" s="171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68"/>
      <c r="J58" s="168"/>
      <c r="K58" s="168"/>
      <c r="L58" s="168"/>
      <c r="M58" s="168"/>
      <c r="N58" s="168"/>
      <c r="O58" s="154"/>
      <c r="P58" s="154"/>
      <c r="Q58" s="67" t="s">
        <v>126</v>
      </c>
    </row>
    <row r="59" spans="1:17" s="5" customFormat="1">
      <c r="A59" s="187"/>
      <c r="B59" s="165"/>
      <c r="C59" s="168"/>
      <c r="D59" s="180"/>
      <c r="E59" s="171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68"/>
      <c r="J59" s="168"/>
      <c r="K59" s="168"/>
      <c r="L59" s="168"/>
      <c r="M59" s="168"/>
      <c r="N59" s="168"/>
      <c r="O59" s="154"/>
      <c r="P59" s="154"/>
      <c r="Q59" s="67" t="s">
        <v>126</v>
      </c>
    </row>
    <row r="60" spans="1:17" s="5" customFormat="1" ht="17.25" thickBot="1">
      <c r="A60" s="188"/>
      <c r="B60" s="174"/>
      <c r="C60" s="175"/>
      <c r="D60" s="189"/>
      <c r="E60" s="176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75"/>
      <c r="J60" s="175"/>
      <c r="K60" s="175"/>
      <c r="L60" s="175"/>
      <c r="M60" s="175"/>
      <c r="N60" s="175"/>
      <c r="O60" s="155"/>
      <c r="P60" s="155"/>
      <c r="Q60" s="69" t="s">
        <v>126</v>
      </c>
    </row>
    <row r="61" spans="1:17" s="5" customFormat="1">
      <c r="A61" s="161" t="s">
        <v>147</v>
      </c>
      <c r="B61" s="164" t="str">
        <f t="shared" si="6"/>
        <v>구매</v>
      </c>
      <c r="C61" s="167">
        <f>IFERROR(VLOOKUP(A61,'거래소 최저가'!F:G,2,FALSE),0)</f>
        <v>0</v>
      </c>
      <c r="D61" s="179">
        <f t="shared" si="1"/>
        <v>1</v>
      </c>
      <c r="E61" s="170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67">
        <f>IF(ISBLANK(A61),"",SUM(H61:H$207)-SUM(I62:I$207))</f>
        <v>25</v>
      </c>
      <c r="J61" s="167">
        <v>288</v>
      </c>
      <c r="K61" s="167">
        <f>IF(J61=1,1,INT(J61*(1-IF(Q61="배틀아이템",검색!$I$23,IF(Q61="요리",검색!$J$23,IF(Q61="특수",검색!$K$23,IF(Q61="생활도구",검색!$L$23))))*0.01)))</f>
        <v>288</v>
      </c>
      <c r="L61" s="167">
        <v>1</v>
      </c>
      <c r="M61" s="167">
        <f>L61*(1+0.01*IF(Q61="배틀아이템",검색!$I$21,IF(Q61="요리",검색!$J$21,IF(Q61="특수",검색!$K$21,IF(Q61="생활도구",검색!$L$21)))))</f>
        <v>1</v>
      </c>
      <c r="N61" s="167">
        <f t="shared" si="3"/>
        <v>-9.0277777777777776E-2</v>
      </c>
      <c r="O61" s="153">
        <f t="shared" si="8"/>
        <v>-902.77777777777771</v>
      </c>
      <c r="P61" s="153">
        <f t="shared" si="5"/>
        <v>-937.5</v>
      </c>
      <c r="Q61" s="66" t="s">
        <v>126</v>
      </c>
    </row>
    <row r="62" spans="1:17" s="5" customFormat="1">
      <c r="A62" s="187"/>
      <c r="B62" s="165"/>
      <c r="C62" s="168"/>
      <c r="D62" s="180"/>
      <c r="E62" s="171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68"/>
      <c r="J62" s="168"/>
      <c r="K62" s="168"/>
      <c r="L62" s="168"/>
      <c r="M62" s="168"/>
      <c r="N62" s="168"/>
      <c r="O62" s="154"/>
      <c r="P62" s="154"/>
      <c r="Q62" s="67" t="s">
        <v>126</v>
      </c>
    </row>
    <row r="63" spans="1:17" s="5" customFormat="1">
      <c r="A63" s="187"/>
      <c r="B63" s="165"/>
      <c r="C63" s="168"/>
      <c r="D63" s="180"/>
      <c r="E63" s="171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68"/>
      <c r="J63" s="168"/>
      <c r="K63" s="168"/>
      <c r="L63" s="168"/>
      <c r="M63" s="168"/>
      <c r="N63" s="168"/>
      <c r="O63" s="154"/>
      <c r="P63" s="154"/>
      <c r="Q63" s="67" t="s">
        <v>126</v>
      </c>
    </row>
    <row r="64" spans="1:17" s="5" customFormat="1">
      <c r="A64" s="187"/>
      <c r="B64" s="165"/>
      <c r="C64" s="168"/>
      <c r="D64" s="180"/>
      <c r="E64" s="171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68"/>
      <c r="J64" s="168"/>
      <c r="K64" s="168"/>
      <c r="L64" s="168"/>
      <c r="M64" s="168"/>
      <c r="N64" s="168"/>
      <c r="O64" s="154"/>
      <c r="P64" s="154"/>
      <c r="Q64" s="67" t="s">
        <v>126</v>
      </c>
    </row>
    <row r="65" spans="1:17" s="5" customFormat="1">
      <c r="A65" s="187"/>
      <c r="B65" s="165"/>
      <c r="C65" s="168"/>
      <c r="D65" s="180"/>
      <c r="E65" s="171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68"/>
      <c r="J65" s="168"/>
      <c r="K65" s="168"/>
      <c r="L65" s="168"/>
      <c r="M65" s="168"/>
      <c r="N65" s="168"/>
      <c r="O65" s="154"/>
      <c r="P65" s="154"/>
      <c r="Q65" s="67" t="s">
        <v>126</v>
      </c>
    </row>
    <row r="66" spans="1:17" s="5" customFormat="1">
      <c r="A66" s="187"/>
      <c r="B66" s="165"/>
      <c r="C66" s="168"/>
      <c r="D66" s="180"/>
      <c r="E66" s="171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68"/>
      <c r="J66" s="168"/>
      <c r="K66" s="168"/>
      <c r="L66" s="168"/>
      <c r="M66" s="168"/>
      <c r="N66" s="168"/>
      <c r="O66" s="154"/>
      <c r="P66" s="154"/>
      <c r="Q66" s="67" t="s">
        <v>126</v>
      </c>
    </row>
    <row r="67" spans="1:17" s="5" customFormat="1" ht="17.25" thickBot="1">
      <c r="A67" s="188"/>
      <c r="B67" s="174"/>
      <c r="C67" s="175"/>
      <c r="D67" s="189"/>
      <c r="E67" s="176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75"/>
      <c r="J67" s="175"/>
      <c r="K67" s="175"/>
      <c r="L67" s="175"/>
      <c r="M67" s="175"/>
      <c r="N67" s="175"/>
      <c r="O67" s="155"/>
      <c r="P67" s="155"/>
      <c r="Q67" s="69" t="s">
        <v>126</v>
      </c>
    </row>
    <row r="68" spans="1:17" s="5" customFormat="1">
      <c r="A68" s="161" t="s">
        <v>148</v>
      </c>
      <c r="B68" s="164" t="str">
        <f t="shared" si="6"/>
        <v>구매</v>
      </c>
      <c r="C68" s="167">
        <f>IFERROR(VLOOKUP(A68,'거래소 최저가'!F:G,2,FALSE),0)</f>
        <v>0</v>
      </c>
      <c r="D68" s="179">
        <f t="shared" ref="D68:D127" si="16">IFERROR(INT(C68*0.05)+1,"")</f>
        <v>1</v>
      </c>
      <c r="E68" s="170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67">
        <f>IF(ISBLANK(A68),"",SUM(H68:H$207)-SUM(I69:I$207))</f>
        <v>50</v>
      </c>
      <c r="J68" s="167">
        <v>288</v>
      </c>
      <c r="K68" s="167">
        <f>IF(J68=1,1,INT(J68*(1-IF(Q68="배틀아이템",검색!$I$23,IF(Q68="요리",검색!$J$23,IF(Q68="특수",검색!$K$23,IF(Q68="생활도구",검색!$L$23))))*0.01)))</f>
        <v>288</v>
      </c>
      <c r="L68" s="167">
        <v>1</v>
      </c>
      <c r="M68" s="167">
        <f>L68*(1+0.01*IF(Q68="배틀아이템",검색!$I$21,IF(Q68="요리",검색!$J$21,IF(Q68="특수",검색!$K$21,IF(Q68="생활도구",검색!$L$21)))))</f>
        <v>1</v>
      </c>
      <c r="N68" s="167">
        <f t="shared" ref="N68:N127" si="17">IFERROR((((C68-D68)*M68-I68)/K68),"")</f>
        <v>-0.17708333333333334</v>
      </c>
      <c r="O68" s="153">
        <f t="shared" si="8"/>
        <v>-1770.8333333333335</v>
      </c>
      <c r="P68" s="153">
        <f t="shared" ref="P68:P127" si="18">((C68-D68-1)*M68-I68)/K68*10000</f>
        <v>-1805.5555555555554</v>
      </c>
      <c r="Q68" s="66" t="s">
        <v>126</v>
      </c>
    </row>
    <row r="69" spans="1:17" s="5" customFormat="1">
      <c r="A69" s="187"/>
      <c r="B69" s="165"/>
      <c r="C69" s="168"/>
      <c r="D69" s="180"/>
      <c r="E69" s="171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68"/>
      <c r="J69" s="168"/>
      <c r="K69" s="168"/>
      <c r="L69" s="168"/>
      <c r="M69" s="168"/>
      <c r="N69" s="168"/>
      <c r="O69" s="154"/>
      <c r="P69" s="154"/>
      <c r="Q69" s="67" t="s">
        <v>126</v>
      </c>
    </row>
    <row r="70" spans="1:17" s="5" customFormat="1">
      <c r="A70" s="187"/>
      <c r="B70" s="165"/>
      <c r="C70" s="168"/>
      <c r="D70" s="180"/>
      <c r="E70" s="171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68"/>
      <c r="J70" s="168"/>
      <c r="K70" s="168"/>
      <c r="L70" s="168"/>
      <c r="M70" s="168"/>
      <c r="N70" s="168"/>
      <c r="O70" s="154"/>
      <c r="P70" s="154"/>
      <c r="Q70" s="67" t="s">
        <v>126</v>
      </c>
    </row>
    <row r="71" spans="1:17" s="5" customFormat="1">
      <c r="A71" s="187"/>
      <c r="B71" s="165"/>
      <c r="C71" s="168"/>
      <c r="D71" s="180"/>
      <c r="E71" s="171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68"/>
      <c r="J71" s="168"/>
      <c r="K71" s="168"/>
      <c r="L71" s="168"/>
      <c r="M71" s="168"/>
      <c r="N71" s="168"/>
      <c r="O71" s="154"/>
      <c r="P71" s="154"/>
      <c r="Q71" s="67" t="s">
        <v>126</v>
      </c>
    </row>
    <row r="72" spans="1:17" s="5" customFormat="1">
      <c r="A72" s="187"/>
      <c r="B72" s="165"/>
      <c r="C72" s="168"/>
      <c r="D72" s="180"/>
      <c r="E72" s="171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68"/>
      <c r="J72" s="168"/>
      <c r="K72" s="168"/>
      <c r="L72" s="168"/>
      <c r="M72" s="168"/>
      <c r="N72" s="168"/>
      <c r="O72" s="154"/>
      <c r="P72" s="154"/>
      <c r="Q72" s="67" t="s">
        <v>126</v>
      </c>
    </row>
    <row r="73" spans="1:17" s="5" customFormat="1">
      <c r="A73" s="187"/>
      <c r="B73" s="165"/>
      <c r="C73" s="168"/>
      <c r="D73" s="180"/>
      <c r="E73" s="171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68"/>
      <c r="J73" s="168"/>
      <c r="K73" s="168"/>
      <c r="L73" s="168"/>
      <c r="M73" s="168"/>
      <c r="N73" s="168"/>
      <c r="O73" s="154"/>
      <c r="P73" s="154"/>
      <c r="Q73" s="67" t="s">
        <v>126</v>
      </c>
    </row>
    <row r="74" spans="1:17" s="5" customFormat="1" ht="17.25" thickBot="1">
      <c r="A74" s="188"/>
      <c r="B74" s="174"/>
      <c r="C74" s="175"/>
      <c r="D74" s="189"/>
      <c r="E74" s="176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75"/>
      <c r="J74" s="175"/>
      <c r="K74" s="175"/>
      <c r="L74" s="175"/>
      <c r="M74" s="175"/>
      <c r="N74" s="175"/>
      <c r="O74" s="155"/>
      <c r="P74" s="155"/>
      <c r="Q74" s="69" t="s">
        <v>126</v>
      </c>
    </row>
    <row r="75" spans="1:17" s="5" customFormat="1">
      <c r="A75" s="161" t="s">
        <v>44</v>
      </c>
      <c r="B75" s="164" t="str">
        <f t="shared" si="6"/>
        <v>구매</v>
      </c>
      <c r="C75" s="167">
        <f>IFERROR(VLOOKUP(A75,'거래소 최저가'!F:G,2,FALSE),0)</f>
        <v>0</v>
      </c>
      <c r="D75" s="179">
        <f t="shared" si="16"/>
        <v>1</v>
      </c>
      <c r="E75" s="170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67">
        <f>IF(ISBLANK(A75),"",SUM(H75:H$207)-SUM(I76:I$207))</f>
        <v>30</v>
      </c>
      <c r="J75" s="167">
        <v>288</v>
      </c>
      <c r="K75" s="167">
        <f>IF(J75=1,1,INT(J75*(1-IF(Q75="배틀아이템",검색!$I$23,IF(Q75="요리",검색!$J$23,IF(Q75="특수",검색!$K$23,IF(Q75="생활도구",검색!$L$23))))*0.01)))</f>
        <v>288</v>
      </c>
      <c r="L75" s="167">
        <v>3</v>
      </c>
      <c r="M75" s="167">
        <f>L75*(1+0.01*IF(Q75="배틀아이템",검색!$I$21,IF(Q75="요리",검색!$J$21,IF(Q75="특수",검색!$K$21,IF(Q75="생활도구",검색!$L$21)))))</f>
        <v>3</v>
      </c>
      <c r="N75" s="167">
        <f t="shared" si="17"/>
        <v>-0.11458333333333333</v>
      </c>
      <c r="O75" s="153">
        <f t="shared" si="8"/>
        <v>-1145.8333333333333</v>
      </c>
      <c r="P75" s="153">
        <f t="shared" si="18"/>
        <v>-1250</v>
      </c>
      <c r="Q75" s="66" t="s">
        <v>125</v>
      </c>
    </row>
    <row r="76" spans="1:17" s="5" customFormat="1">
      <c r="A76" s="162"/>
      <c r="B76" s="165"/>
      <c r="C76" s="168"/>
      <c r="D76" s="180"/>
      <c r="E76" s="171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68"/>
      <c r="J76" s="168"/>
      <c r="K76" s="168"/>
      <c r="L76" s="168"/>
      <c r="M76" s="168"/>
      <c r="N76" s="168"/>
      <c r="O76" s="154"/>
      <c r="P76" s="154"/>
      <c r="Q76" s="67" t="s">
        <v>125</v>
      </c>
    </row>
    <row r="77" spans="1:17" s="5" customFormat="1">
      <c r="A77" s="162"/>
      <c r="B77" s="165"/>
      <c r="C77" s="168"/>
      <c r="D77" s="180"/>
      <c r="E77" s="171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68"/>
      <c r="J77" s="168"/>
      <c r="K77" s="168"/>
      <c r="L77" s="168"/>
      <c r="M77" s="168"/>
      <c r="N77" s="168"/>
      <c r="O77" s="154"/>
      <c r="P77" s="154"/>
      <c r="Q77" s="67" t="s">
        <v>125</v>
      </c>
    </row>
    <row r="78" spans="1:17" s="5" customFormat="1">
      <c r="A78" s="162"/>
      <c r="B78" s="165"/>
      <c r="C78" s="168"/>
      <c r="D78" s="180"/>
      <c r="E78" s="171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68"/>
      <c r="J78" s="168"/>
      <c r="K78" s="168"/>
      <c r="L78" s="168"/>
      <c r="M78" s="168"/>
      <c r="N78" s="168"/>
      <c r="O78" s="154"/>
      <c r="P78" s="154"/>
      <c r="Q78" s="67" t="s">
        <v>125</v>
      </c>
    </row>
    <row r="79" spans="1:17" s="5" customFormat="1">
      <c r="A79" s="162"/>
      <c r="B79" s="165"/>
      <c r="C79" s="168"/>
      <c r="D79" s="180"/>
      <c r="E79" s="171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68"/>
      <c r="J79" s="168"/>
      <c r="K79" s="168"/>
      <c r="L79" s="168"/>
      <c r="M79" s="168"/>
      <c r="N79" s="168"/>
      <c r="O79" s="154"/>
      <c r="P79" s="154"/>
      <c r="Q79" s="67" t="s">
        <v>125</v>
      </c>
    </row>
    <row r="80" spans="1:17" s="5" customFormat="1" ht="17.25" thickBot="1">
      <c r="A80" s="173"/>
      <c r="B80" s="174"/>
      <c r="C80" s="175"/>
      <c r="D80" s="189"/>
      <c r="E80" s="176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75"/>
      <c r="J80" s="175"/>
      <c r="K80" s="175"/>
      <c r="L80" s="175"/>
      <c r="M80" s="175"/>
      <c r="N80" s="175"/>
      <c r="O80" s="155"/>
      <c r="P80" s="155"/>
      <c r="Q80" s="69" t="s">
        <v>125</v>
      </c>
    </row>
    <row r="81" spans="1:17" s="5" customFormat="1">
      <c r="A81" s="161" t="s">
        <v>46</v>
      </c>
      <c r="B81" s="164" t="str">
        <f t="shared" ref="B81:B112" si="19">IFERROR(IF(ISBLANK(A81),"",IF(C81&gt;E81,"제작","구매")),"")</f>
        <v>구매</v>
      </c>
      <c r="C81" s="167">
        <f>IFERROR(VLOOKUP(A81,'거래소 최저가'!F:G,2,FALSE),0)</f>
        <v>0</v>
      </c>
      <c r="D81" s="179">
        <f t="shared" si="16"/>
        <v>1</v>
      </c>
      <c r="E81" s="170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67">
        <f>IF(ISBLANK(A81),"",SUM(H81:H$207)-SUM(I82:I$207))</f>
        <v>30</v>
      </c>
      <c r="J81" s="167">
        <v>288</v>
      </c>
      <c r="K81" s="167">
        <f>IF(J81=1,1,INT(J81*(1-IF(Q81="배틀아이템",검색!$I$23,IF(Q81="요리",검색!$J$23,IF(Q81="특수",검색!$K$23,IF(Q81="생활도구",검색!$L$23))))*0.01)))</f>
        <v>288</v>
      </c>
      <c r="L81" s="167">
        <v>3</v>
      </c>
      <c r="M81" s="167">
        <f>L81*(1+0.01*IF(Q81="배틀아이템",검색!$I$21,IF(Q81="요리",검색!$J$21,IF(Q81="특수",검색!$K$21,IF(Q81="생활도구",검색!$L$21)))))</f>
        <v>3</v>
      </c>
      <c r="N81" s="167">
        <f t="shared" si="17"/>
        <v>-0.11458333333333333</v>
      </c>
      <c r="O81" s="153">
        <f t="shared" ref="O81:O112" si="21">N81*10000</f>
        <v>-1145.8333333333333</v>
      </c>
      <c r="P81" s="153">
        <f t="shared" si="18"/>
        <v>-1250</v>
      </c>
      <c r="Q81" s="66" t="s">
        <v>125</v>
      </c>
    </row>
    <row r="82" spans="1:17" s="5" customFormat="1">
      <c r="A82" s="162"/>
      <c r="B82" s="165"/>
      <c r="C82" s="168"/>
      <c r="D82" s="180"/>
      <c r="E82" s="171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68"/>
      <c r="J82" s="168"/>
      <c r="K82" s="168"/>
      <c r="L82" s="168"/>
      <c r="M82" s="168"/>
      <c r="N82" s="168"/>
      <c r="O82" s="154"/>
      <c r="P82" s="154"/>
      <c r="Q82" s="67" t="s">
        <v>125</v>
      </c>
    </row>
    <row r="83" spans="1:17" s="5" customFormat="1">
      <c r="A83" s="162"/>
      <c r="B83" s="165"/>
      <c r="C83" s="168"/>
      <c r="D83" s="180"/>
      <c r="E83" s="171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68"/>
      <c r="J83" s="168"/>
      <c r="K83" s="168"/>
      <c r="L83" s="168"/>
      <c r="M83" s="168"/>
      <c r="N83" s="168"/>
      <c r="O83" s="154"/>
      <c r="P83" s="154"/>
      <c r="Q83" s="67" t="s">
        <v>125</v>
      </c>
    </row>
    <row r="84" spans="1:17" s="5" customFormat="1">
      <c r="A84" s="162"/>
      <c r="B84" s="165"/>
      <c r="C84" s="168"/>
      <c r="D84" s="180"/>
      <c r="E84" s="171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68"/>
      <c r="J84" s="168"/>
      <c r="K84" s="168"/>
      <c r="L84" s="168"/>
      <c r="M84" s="168"/>
      <c r="N84" s="168"/>
      <c r="O84" s="154"/>
      <c r="P84" s="154"/>
      <c r="Q84" s="67" t="s">
        <v>125</v>
      </c>
    </row>
    <row r="85" spans="1:17" s="5" customFormat="1">
      <c r="A85" s="162"/>
      <c r="B85" s="165"/>
      <c r="C85" s="168"/>
      <c r="D85" s="180"/>
      <c r="E85" s="171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68"/>
      <c r="J85" s="168"/>
      <c r="K85" s="168"/>
      <c r="L85" s="168"/>
      <c r="M85" s="168"/>
      <c r="N85" s="168"/>
      <c r="O85" s="154"/>
      <c r="P85" s="154"/>
      <c r="Q85" s="67" t="s">
        <v>125</v>
      </c>
    </row>
    <row r="86" spans="1:17" s="5" customFormat="1" ht="17.25" thickBot="1">
      <c r="A86" s="173"/>
      <c r="B86" s="174"/>
      <c r="C86" s="175"/>
      <c r="D86" s="189"/>
      <c r="E86" s="176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75"/>
      <c r="J86" s="175"/>
      <c r="K86" s="175"/>
      <c r="L86" s="175"/>
      <c r="M86" s="175"/>
      <c r="N86" s="175"/>
      <c r="O86" s="155"/>
      <c r="P86" s="155"/>
      <c r="Q86" s="69" t="s">
        <v>125</v>
      </c>
    </row>
    <row r="87" spans="1:17" s="5" customFormat="1">
      <c r="A87" s="161" t="s">
        <v>48</v>
      </c>
      <c r="B87" s="164" t="str">
        <f t="shared" si="19"/>
        <v>구매</v>
      </c>
      <c r="C87" s="167">
        <f>IFERROR(VLOOKUP(A87,'거래소 최저가'!F:G,2,FALSE),0)</f>
        <v>0</v>
      </c>
      <c r="D87" s="179">
        <f t="shared" si="16"/>
        <v>1</v>
      </c>
      <c r="E87" s="170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67">
        <f>IF(ISBLANK(A87),"",SUM(H87:H$207)-SUM(I88:I$207))</f>
        <v>30</v>
      </c>
      <c r="J87" s="167">
        <v>288</v>
      </c>
      <c r="K87" s="167">
        <f>IF(J87=1,1,INT(J87*(1-IF(Q87="배틀아이템",검색!$I$23,IF(Q87="요리",검색!$J$23,IF(Q87="특수",검색!$K$23,IF(Q87="생활도구",검색!$L$23))))*0.01)))</f>
        <v>288</v>
      </c>
      <c r="L87" s="167">
        <v>3</v>
      </c>
      <c r="M87" s="167">
        <f>L87*(1+0.01*IF(Q87="배틀아이템",검색!$I$21,IF(Q87="요리",검색!$J$21,IF(Q87="특수",검색!$K$21,IF(Q87="생활도구",검색!$L$21)))))</f>
        <v>3</v>
      </c>
      <c r="N87" s="167">
        <f t="shared" si="17"/>
        <v>-0.11458333333333333</v>
      </c>
      <c r="O87" s="153">
        <f t="shared" si="21"/>
        <v>-1145.8333333333333</v>
      </c>
      <c r="P87" s="153">
        <f t="shared" si="18"/>
        <v>-1250</v>
      </c>
      <c r="Q87" s="66" t="s">
        <v>125</v>
      </c>
    </row>
    <row r="88" spans="1:17" s="5" customFormat="1">
      <c r="A88" s="162"/>
      <c r="B88" s="165"/>
      <c r="C88" s="168"/>
      <c r="D88" s="180"/>
      <c r="E88" s="171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68"/>
      <c r="J88" s="168"/>
      <c r="K88" s="168"/>
      <c r="L88" s="168"/>
      <c r="M88" s="168"/>
      <c r="N88" s="168"/>
      <c r="O88" s="154"/>
      <c r="P88" s="154"/>
      <c r="Q88" s="67" t="s">
        <v>125</v>
      </c>
    </row>
    <row r="89" spans="1:17" s="5" customFormat="1">
      <c r="A89" s="162"/>
      <c r="B89" s="165"/>
      <c r="C89" s="168"/>
      <c r="D89" s="180"/>
      <c r="E89" s="171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68"/>
      <c r="J89" s="168"/>
      <c r="K89" s="168"/>
      <c r="L89" s="168"/>
      <c r="M89" s="168"/>
      <c r="N89" s="168"/>
      <c r="O89" s="154"/>
      <c r="P89" s="154"/>
      <c r="Q89" s="67" t="s">
        <v>125</v>
      </c>
    </row>
    <row r="90" spans="1:17" s="5" customFormat="1">
      <c r="A90" s="162"/>
      <c r="B90" s="165"/>
      <c r="C90" s="168"/>
      <c r="D90" s="180"/>
      <c r="E90" s="171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68"/>
      <c r="J90" s="168"/>
      <c r="K90" s="168"/>
      <c r="L90" s="168"/>
      <c r="M90" s="168"/>
      <c r="N90" s="168"/>
      <c r="O90" s="154"/>
      <c r="P90" s="154"/>
      <c r="Q90" s="67" t="s">
        <v>125</v>
      </c>
    </row>
    <row r="91" spans="1:17" s="5" customFormat="1">
      <c r="A91" s="162"/>
      <c r="B91" s="165"/>
      <c r="C91" s="168"/>
      <c r="D91" s="180"/>
      <c r="E91" s="171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68"/>
      <c r="J91" s="168"/>
      <c r="K91" s="168"/>
      <c r="L91" s="168"/>
      <c r="M91" s="168"/>
      <c r="N91" s="168"/>
      <c r="O91" s="154"/>
      <c r="P91" s="154"/>
      <c r="Q91" s="67" t="s">
        <v>125</v>
      </c>
    </row>
    <row r="92" spans="1:17" s="5" customFormat="1" ht="17.25" thickBot="1">
      <c r="A92" s="173"/>
      <c r="B92" s="174"/>
      <c r="C92" s="175"/>
      <c r="D92" s="189"/>
      <c r="E92" s="176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75"/>
      <c r="J92" s="175"/>
      <c r="K92" s="175"/>
      <c r="L92" s="175"/>
      <c r="M92" s="175"/>
      <c r="N92" s="175"/>
      <c r="O92" s="155"/>
      <c r="P92" s="155"/>
      <c r="Q92" s="69" t="s">
        <v>125</v>
      </c>
    </row>
    <row r="93" spans="1:17" s="5" customFormat="1">
      <c r="A93" s="161" t="s">
        <v>55</v>
      </c>
      <c r="B93" s="164" t="str">
        <f t="shared" si="19"/>
        <v>구매</v>
      </c>
      <c r="C93" s="167">
        <f>IFERROR(VLOOKUP(A93,'거래소 최저가'!F:G,2,FALSE),0)</f>
        <v>0</v>
      </c>
      <c r="D93" s="179">
        <f t="shared" si="16"/>
        <v>1</v>
      </c>
      <c r="E93" s="170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67">
        <f>IF(ISBLANK(A93),"",SUM(H93:H$207)-SUM(I94:I$207))</f>
        <v>15</v>
      </c>
      <c r="J93" s="167">
        <v>144</v>
      </c>
      <c r="K93" s="167">
        <f>IF(J93=1,1,INT(J93*(1-IF(Q93="배틀아이템",검색!$I$23,IF(Q93="요리",검색!$J$23,IF(Q93="특수",검색!$K$23,IF(Q93="생활도구",검색!$L$23))))*0.01)))</f>
        <v>144</v>
      </c>
      <c r="L93" s="167">
        <v>3</v>
      </c>
      <c r="M93" s="167">
        <f>L93*(1+0.01*IF(Q93="배틀아이템",검색!$I$21,IF(Q93="요리",검색!$J$21,IF(Q93="특수",검색!$K$21,IF(Q93="생활도구",검색!$L$21)))))</f>
        <v>3</v>
      </c>
      <c r="N93" s="167">
        <f t="shared" si="17"/>
        <v>-0.125</v>
      </c>
      <c r="O93" s="153">
        <f t="shared" si="21"/>
        <v>-1250</v>
      </c>
      <c r="P93" s="153">
        <f t="shared" si="18"/>
        <v>-1458.3333333333335</v>
      </c>
      <c r="Q93" s="66" t="s">
        <v>125</v>
      </c>
    </row>
    <row r="94" spans="1:17" s="5" customFormat="1">
      <c r="A94" s="162"/>
      <c r="B94" s="165"/>
      <c r="C94" s="168"/>
      <c r="D94" s="180"/>
      <c r="E94" s="171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68"/>
      <c r="J94" s="168"/>
      <c r="K94" s="168"/>
      <c r="L94" s="168"/>
      <c r="M94" s="168"/>
      <c r="N94" s="168"/>
      <c r="O94" s="154"/>
      <c r="P94" s="154"/>
      <c r="Q94" s="67" t="s">
        <v>125</v>
      </c>
    </row>
    <row r="95" spans="1:17" s="5" customFormat="1">
      <c r="A95" s="162"/>
      <c r="B95" s="165"/>
      <c r="C95" s="168"/>
      <c r="D95" s="180"/>
      <c r="E95" s="171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68"/>
      <c r="J95" s="168"/>
      <c r="K95" s="168"/>
      <c r="L95" s="168"/>
      <c r="M95" s="168"/>
      <c r="N95" s="168"/>
      <c r="O95" s="154"/>
      <c r="P95" s="154"/>
      <c r="Q95" s="67" t="s">
        <v>125</v>
      </c>
    </row>
    <row r="96" spans="1:17" s="5" customFormat="1">
      <c r="A96" s="162"/>
      <c r="B96" s="165"/>
      <c r="C96" s="168"/>
      <c r="D96" s="180"/>
      <c r="E96" s="171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68"/>
      <c r="J96" s="168"/>
      <c r="K96" s="168"/>
      <c r="L96" s="168"/>
      <c r="M96" s="168"/>
      <c r="N96" s="168"/>
      <c r="O96" s="154"/>
      <c r="P96" s="154"/>
      <c r="Q96" s="67" t="s">
        <v>125</v>
      </c>
    </row>
    <row r="97" spans="1:17" s="5" customFormat="1" ht="17.25" thickBot="1">
      <c r="A97" s="173"/>
      <c r="B97" s="174"/>
      <c r="C97" s="175"/>
      <c r="D97" s="189"/>
      <c r="E97" s="176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75"/>
      <c r="J97" s="175"/>
      <c r="K97" s="175"/>
      <c r="L97" s="175"/>
      <c r="M97" s="175"/>
      <c r="N97" s="175"/>
      <c r="O97" s="155"/>
      <c r="P97" s="155"/>
      <c r="Q97" s="69" t="s">
        <v>125</v>
      </c>
    </row>
    <row r="98" spans="1:17" s="5" customFormat="1">
      <c r="A98" s="161" t="s">
        <v>50</v>
      </c>
      <c r="B98" s="164" t="str">
        <f t="shared" si="19"/>
        <v>구매</v>
      </c>
      <c r="C98" s="167">
        <f>IFERROR(VLOOKUP(A98,'거래소 최저가'!F:G,2,FALSE),0)</f>
        <v>0</v>
      </c>
      <c r="D98" s="179">
        <f t="shared" si="16"/>
        <v>1</v>
      </c>
      <c r="E98" s="170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67">
        <f>IF(ISBLANK(A98),"",SUM(H98:H$207)-SUM(I99:I$207))</f>
        <v>15</v>
      </c>
      <c r="J98" s="167">
        <v>144</v>
      </c>
      <c r="K98" s="167">
        <f>IF(J98=1,1,INT(J98*(1-IF(Q98="배틀아이템",검색!$I$23,IF(Q98="요리",검색!$J$23,IF(Q98="특수",검색!$K$23,IF(Q98="생활도구",검색!$L$23))))*0.01)))</f>
        <v>144</v>
      </c>
      <c r="L98" s="167">
        <v>3</v>
      </c>
      <c r="M98" s="167">
        <f>L98*(1+0.01*IF(Q98="배틀아이템",검색!$I$21,IF(Q98="요리",검색!$J$21,IF(Q98="특수",검색!$K$21,IF(Q98="생활도구",검색!$L$21)))))</f>
        <v>3</v>
      </c>
      <c r="N98" s="167">
        <f t="shared" si="17"/>
        <v>-0.125</v>
      </c>
      <c r="O98" s="153">
        <f t="shared" si="21"/>
        <v>-1250</v>
      </c>
      <c r="P98" s="153">
        <f t="shared" si="18"/>
        <v>-1458.3333333333335</v>
      </c>
      <c r="Q98" s="66" t="s">
        <v>125</v>
      </c>
    </row>
    <row r="99" spans="1:17" s="5" customFormat="1">
      <c r="A99" s="162"/>
      <c r="B99" s="165"/>
      <c r="C99" s="168"/>
      <c r="D99" s="180"/>
      <c r="E99" s="171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68"/>
      <c r="J99" s="168"/>
      <c r="K99" s="168"/>
      <c r="L99" s="168"/>
      <c r="M99" s="168"/>
      <c r="N99" s="168"/>
      <c r="O99" s="154"/>
      <c r="P99" s="154"/>
      <c r="Q99" s="67" t="s">
        <v>125</v>
      </c>
    </row>
    <row r="100" spans="1:17" s="5" customFormat="1">
      <c r="A100" s="162"/>
      <c r="B100" s="165"/>
      <c r="C100" s="168"/>
      <c r="D100" s="180"/>
      <c r="E100" s="171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68"/>
      <c r="J100" s="168"/>
      <c r="K100" s="168"/>
      <c r="L100" s="168"/>
      <c r="M100" s="168"/>
      <c r="N100" s="168"/>
      <c r="O100" s="154"/>
      <c r="P100" s="154"/>
      <c r="Q100" s="67" t="s">
        <v>125</v>
      </c>
    </row>
    <row r="101" spans="1:17" s="5" customFormat="1">
      <c r="A101" s="162"/>
      <c r="B101" s="165"/>
      <c r="C101" s="168"/>
      <c r="D101" s="180"/>
      <c r="E101" s="171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68"/>
      <c r="J101" s="168"/>
      <c r="K101" s="168"/>
      <c r="L101" s="168"/>
      <c r="M101" s="168"/>
      <c r="N101" s="168"/>
      <c r="O101" s="154"/>
      <c r="P101" s="154"/>
      <c r="Q101" s="67" t="s">
        <v>125</v>
      </c>
    </row>
    <row r="102" spans="1:17" s="5" customFormat="1" ht="17.25" thickBot="1">
      <c r="A102" s="173"/>
      <c r="B102" s="174"/>
      <c r="C102" s="175"/>
      <c r="D102" s="189"/>
      <c r="E102" s="176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75"/>
      <c r="J102" s="175"/>
      <c r="K102" s="175"/>
      <c r="L102" s="175"/>
      <c r="M102" s="175"/>
      <c r="N102" s="175"/>
      <c r="O102" s="155"/>
      <c r="P102" s="155"/>
      <c r="Q102" s="69" t="s">
        <v>125</v>
      </c>
    </row>
    <row r="103" spans="1:17" s="12" customFormat="1">
      <c r="A103" s="161" t="s">
        <v>51</v>
      </c>
      <c r="B103" s="164" t="str">
        <f t="shared" si="19"/>
        <v>구매</v>
      </c>
      <c r="C103" s="167">
        <f>IFERROR(VLOOKUP(A103,'거래소 최저가'!F:G,2,FALSE),0)</f>
        <v>0</v>
      </c>
      <c r="D103" s="179">
        <f t="shared" si="16"/>
        <v>1</v>
      </c>
      <c r="E103" s="170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67">
        <f>IF(ISBLANK(A103),"",SUM(H103:H$207)-SUM(I104:I$207))</f>
        <v>15</v>
      </c>
      <c r="J103" s="167">
        <v>144</v>
      </c>
      <c r="K103" s="167">
        <f>IF(J103=1,1,INT(J103*(1-IF(Q103="배틀아이템",검색!$I$23,IF(Q103="요리",검색!$J$23,IF(Q103="특수",검색!$K$23,IF(Q103="생활도구",검색!$L$23))))*0.01)))</f>
        <v>144</v>
      </c>
      <c r="L103" s="167">
        <v>3</v>
      </c>
      <c r="M103" s="167">
        <f>L103*(1+0.01*IF(Q103="배틀아이템",검색!$I$21,IF(Q103="요리",검색!$J$21,IF(Q103="특수",검색!$K$21,IF(Q103="생활도구",검색!$L$21)))))</f>
        <v>3</v>
      </c>
      <c r="N103" s="167">
        <f t="shared" si="17"/>
        <v>-0.125</v>
      </c>
      <c r="O103" s="153">
        <f t="shared" si="21"/>
        <v>-1250</v>
      </c>
      <c r="P103" s="153">
        <f t="shared" si="18"/>
        <v>-1458.3333333333335</v>
      </c>
      <c r="Q103" s="66" t="s">
        <v>125</v>
      </c>
    </row>
    <row r="104" spans="1:17" s="10" customFormat="1">
      <c r="A104" s="162"/>
      <c r="B104" s="165"/>
      <c r="C104" s="168"/>
      <c r="D104" s="180"/>
      <c r="E104" s="171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68"/>
      <c r="J104" s="168"/>
      <c r="K104" s="168"/>
      <c r="L104" s="168"/>
      <c r="M104" s="168"/>
      <c r="N104" s="168"/>
      <c r="O104" s="154"/>
      <c r="P104" s="154"/>
      <c r="Q104" s="67" t="s">
        <v>125</v>
      </c>
    </row>
    <row r="105" spans="1:17" s="10" customFormat="1">
      <c r="A105" s="162"/>
      <c r="B105" s="165"/>
      <c r="C105" s="168"/>
      <c r="D105" s="180"/>
      <c r="E105" s="171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68"/>
      <c r="J105" s="168"/>
      <c r="K105" s="168"/>
      <c r="L105" s="168"/>
      <c r="M105" s="168"/>
      <c r="N105" s="168"/>
      <c r="O105" s="154"/>
      <c r="P105" s="154"/>
      <c r="Q105" s="67" t="s">
        <v>125</v>
      </c>
    </row>
    <row r="106" spans="1:17" s="10" customFormat="1">
      <c r="A106" s="162"/>
      <c r="B106" s="165"/>
      <c r="C106" s="168"/>
      <c r="D106" s="180"/>
      <c r="E106" s="171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68"/>
      <c r="J106" s="168"/>
      <c r="K106" s="168"/>
      <c r="L106" s="168"/>
      <c r="M106" s="168"/>
      <c r="N106" s="168"/>
      <c r="O106" s="154"/>
      <c r="P106" s="154"/>
      <c r="Q106" s="67" t="s">
        <v>125</v>
      </c>
    </row>
    <row r="107" spans="1:17" s="17" customFormat="1" ht="17.25" thickBot="1">
      <c r="A107" s="173"/>
      <c r="B107" s="174"/>
      <c r="C107" s="175"/>
      <c r="D107" s="189"/>
      <c r="E107" s="176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75"/>
      <c r="J107" s="175"/>
      <c r="K107" s="175"/>
      <c r="L107" s="175"/>
      <c r="M107" s="175"/>
      <c r="N107" s="175"/>
      <c r="O107" s="155"/>
      <c r="P107" s="155"/>
      <c r="Q107" s="69" t="s">
        <v>125</v>
      </c>
    </row>
    <row r="108" spans="1:17">
      <c r="A108" s="161" t="s">
        <v>57</v>
      </c>
      <c r="B108" s="164" t="str">
        <f t="shared" si="19"/>
        <v>구매</v>
      </c>
      <c r="C108" s="167">
        <f>IFERROR(VLOOKUP(A108,'거래소 최저가'!F:G,2,FALSE),0)</f>
        <v>0</v>
      </c>
      <c r="D108" s="179">
        <f t="shared" si="16"/>
        <v>1</v>
      </c>
      <c r="E108" s="170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67">
        <f>IF(ISBLANK(A108),"",SUM(H108:H$207)-SUM(I109:I$207))</f>
        <v>15</v>
      </c>
      <c r="J108" s="167">
        <v>144</v>
      </c>
      <c r="K108" s="167">
        <f>IF(J108=1,1,INT(J108*(1-IF(Q108="배틀아이템",검색!$I$23,IF(Q108="요리",검색!$J$23,IF(Q108="특수",검색!$K$23,IF(Q108="생활도구",검색!$L$23))))*0.01)))</f>
        <v>144</v>
      </c>
      <c r="L108" s="167">
        <v>3</v>
      </c>
      <c r="M108" s="167">
        <f>L108*(1+0.01*IF(Q108="배틀아이템",검색!$I$21,IF(Q108="요리",검색!$J$21,IF(Q108="특수",검색!$K$21,IF(Q108="생활도구",검색!$L$21)))))</f>
        <v>3</v>
      </c>
      <c r="N108" s="167">
        <f t="shared" si="17"/>
        <v>-0.125</v>
      </c>
      <c r="O108" s="153">
        <f t="shared" si="21"/>
        <v>-1250</v>
      </c>
      <c r="P108" s="153">
        <f t="shared" si="18"/>
        <v>-1458.3333333333335</v>
      </c>
      <c r="Q108" s="66" t="s">
        <v>125</v>
      </c>
    </row>
    <row r="109" spans="1:17">
      <c r="A109" s="162"/>
      <c r="B109" s="165"/>
      <c r="C109" s="168"/>
      <c r="D109" s="180"/>
      <c r="E109" s="171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68"/>
      <c r="J109" s="168"/>
      <c r="K109" s="168"/>
      <c r="L109" s="168"/>
      <c r="M109" s="168"/>
      <c r="N109" s="168"/>
      <c r="O109" s="154"/>
      <c r="P109" s="154"/>
      <c r="Q109" s="67" t="s">
        <v>125</v>
      </c>
    </row>
    <row r="110" spans="1:17">
      <c r="A110" s="162"/>
      <c r="B110" s="165"/>
      <c r="C110" s="168"/>
      <c r="D110" s="180"/>
      <c r="E110" s="171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68"/>
      <c r="J110" s="168"/>
      <c r="K110" s="168"/>
      <c r="L110" s="168"/>
      <c r="M110" s="168"/>
      <c r="N110" s="168"/>
      <c r="O110" s="154"/>
      <c r="P110" s="154"/>
      <c r="Q110" s="67" t="s">
        <v>125</v>
      </c>
    </row>
    <row r="111" spans="1:17" ht="17.25" thickBot="1">
      <c r="A111" s="173"/>
      <c r="B111" s="174"/>
      <c r="C111" s="175"/>
      <c r="D111" s="189"/>
      <c r="E111" s="176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75"/>
      <c r="J111" s="175"/>
      <c r="K111" s="175"/>
      <c r="L111" s="175"/>
      <c r="M111" s="175"/>
      <c r="N111" s="175"/>
      <c r="O111" s="155"/>
      <c r="P111" s="155"/>
      <c r="Q111" s="69" t="s">
        <v>125</v>
      </c>
    </row>
    <row r="112" spans="1:17">
      <c r="A112" s="161" t="s">
        <v>58</v>
      </c>
      <c r="B112" s="164" t="str">
        <f t="shared" si="19"/>
        <v>구매</v>
      </c>
      <c r="C112" s="167">
        <f>IFERROR(VLOOKUP(A112,'거래소 최저가'!A:B,2,FALSE),0)</f>
        <v>0</v>
      </c>
      <c r="D112" s="179">
        <f t="shared" si="16"/>
        <v>1</v>
      </c>
      <c r="E112" s="170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67">
        <f>IF(ISBLANK(A112),"",SUM(H112:H$207)-SUM(I113:I$207))</f>
        <v>20</v>
      </c>
      <c r="J112" s="167">
        <v>288</v>
      </c>
      <c r="K112" s="167">
        <f>IF(J112=1,1,INT(J112*(1-IF(Q112="배틀아이템",검색!$I$23,IF(Q112="요리",검색!$J$23,IF(Q112="특수",검색!$K$23,IF(Q112="생활도구",검색!$L$23))))*0.01)))</f>
        <v>288</v>
      </c>
      <c r="L112" s="167">
        <v>30</v>
      </c>
      <c r="M112" s="167">
        <f>L112*(1+0.01*IF(Q112="배틀아이템",검색!$I$21,IF(Q112="요리",검색!$J$21,IF(Q112="특수",검색!$K$21,IF(Q112="생활도구",검색!$L$21)))))</f>
        <v>30</v>
      </c>
      <c r="N112" s="167">
        <f t="shared" si="17"/>
        <v>-0.1736111111111111</v>
      </c>
      <c r="O112" s="153">
        <f t="shared" si="21"/>
        <v>-1736.1111111111111</v>
      </c>
      <c r="P112" s="153">
        <f t="shared" si="18"/>
        <v>-2777.7777777777778</v>
      </c>
      <c r="Q112" s="66" t="s">
        <v>125</v>
      </c>
    </row>
    <row r="113" spans="1:17">
      <c r="A113" s="162"/>
      <c r="B113" s="165"/>
      <c r="C113" s="168"/>
      <c r="D113" s="180"/>
      <c r="E113" s="171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68"/>
      <c r="J113" s="168"/>
      <c r="K113" s="168"/>
      <c r="L113" s="168"/>
      <c r="M113" s="168"/>
      <c r="N113" s="168"/>
      <c r="O113" s="154"/>
      <c r="P113" s="154"/>
      <c r="Q113" s="67" t="s">
        <v>125</v>
      </c>
    </row>
    <row r="114" spans="1:17">
      <c r="A114" s="162"/>
      <c r="B114" s="165"/>
      <c r="C114" s="168"/>
      <c r="D114" s="180"/>
      <c r="E114" s="171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68"/>
      <c r="J114" s="168"/>
      <c r="K114" s="168"/>
      <c r="L114" s="168"/>
      <c r="M114" s="168"/>
      <c r="N114" s="168"/>
      <c r="O114" s="154"/>
      <c r="P114" s="154"/>
      <c r="Q114" s="67" t="s">
        <v>125</v>
      </c>
    </row>
    <row r="115" spans="1:17">
      <c r="A115" s="162"/>
      <c r="B115" s="165"/>
      <c r="C115" s="168"/>
      <c r="D115" s="180"/>
      <c r="E115" s="171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68"/>
      <c r="J115" s="168"/>
      <c r="K115" s="168"/>
      <c r="L115" s="168"/>
      <c r="M115" s="168"/>
      <c r="N115" s="168"/>
      <c r="O115" s="154"/>
      <c r="P115" s="154"/>
      <c r="Q115" s="67" t="s">
        <v>125</v>
      </c>
    </row>
    <row r="116" spans="1:17" ht="17.25" thickBot="1">
      <c r="A116" s="173"/>
      <c r="B116" s="174"/>
      <c r="C116" s="175"/>
      <c r="D116" s="189"/>
      <c r="E116" s="176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75"/>
      <c r="J116" s="175"/>
      <c r="K116" s="175"/>
      <c r="L116" s="175"/>
      <c r="M116" s="175"/>
      <c r="N116" s="175"/>
      <c r="O116" s="155"/>
      <c r="P116" s="155"/>
      <c r="Q116" s="69" t="s">
        <v>125</v>
      </c>
    </row>
    <row r="117" spans="1:17">
      <c r="A117" s="161" t="s">
        <v>76</v>
      </c>
      <c r="B117" s="164" t="str">
        <f t="shared" ref="B117:B142" si="22">IFERROR(IF(ISBLANK(A117),"",IF(C117&gt;E117,"제작","구매")),"")</f>
        <v>구매</v>
      </c>
      <c r="C117" s="167">
        <f>IFERROR(VLOOKUP(A117,'거래소 최저가'!F:G,2,FALSE),0)</f>
        <v>0</v>
      </c>
      <c r="D117" s="179">
        <f t="shared" si="16"/>
        <v>1</v>
      </c>
      <c r="E117" s="170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67">
        <f>IF(ISBLANK(A117),"",SUM(H117:H$207)-SUM(I118:I$207))</f>
        <v>15</v>
      </c>
      <c r="J117" s="167">
        <v>144</v>
      </c>
      <c r="K117" s="167">
        <f>IF(J117=1,1,INT(J117*(1-IF(Q117="배틀아이템",검색!$I$23,IF(Q117="요리",검색!$J$23,IF(Q117="특수",검색!$K$23,IF(Q117="생활도구",검색!$L$23))))*0.01)))</f>
        <v>144</v>
      </c>
      <c r="L117" s="167">
        <v>3</v>
      </c>
      <c r="M117" s="167">
        <f>L117*(1+0.01*IF(Q117="배틀아이템",검색!$I$21,IF(Q117="요리",검색!$J$21,IF(Q117="특수",검색!$K$21,IF(Q117="생활도구",검색!$L$21)))))</f>
        <v>3</v>
      </c>
      <c r="N117" s="167">
        <f t="shared" si="17"/>
        <v>-0.125</v>
      </c>
      <c r="O117" s="153">
        <f t="shared" ref="O117:O147" si="24">N117*10000</f>
        <v>-1250</v>
      </c>
      <c r="P117" s="153">
        <f t="shared" si="18"/>
        <v>-1458.3333333333335</v>
      </c>
      <c r="Q117" s="66" t="s">
        <v>125</v>
      </c>
    </row>
    <row r="118" spans="1:17">
      <c r="A118" s="162"/>
      <c r="B118" s="165"/>
      <c r="C118" s="168"/>
      <c r="D118" s="180"/>
      <c r="E118" s="171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68"/>
      <c r="J118" s="168"/>
      <c r="K118" s="168"/>
      <c r="L118" s="168"/>
      <c r="M118" s="168"/>
      <c r="N118" s="168"/>
      <c r="O118" s="154"/>
      <c r="P118" s="154"/>
      <c r="Q118" s="67" t="s">
        <v>125</v>
      </c>
    </row>
    <row r="119" spans="1:17">
      <c r="A119" s="162"/>
      <c r="B119" s="165"/>
      <c r="C119" s="168"/>
      <c r="D119" s="180"/>
      <c r="E119" s="171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68"/>
      <c r="J119" s="168"/>
      <c r="K119" s="168"/>
      <c r="L119" s="168"/>
      <c r="M119" s="168"/>
      <c r="N119" s="168"/>
      <c r="O119" s="154"/>
      <c r="P119" s="154"/>
      <c r="Q119" s="67" t="s">
        <v>125</v>
      </c>
    </row>
    <row r="120" spans="1:17">
      <c r="A120" s="162"/>
      <c r="B120" s="165"/>
      <c r="C120" s="168"/>
      <c r="D120" s="180"/>
      <c r="E120" s="171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68"/>
      <c r="J120" s="168"/>
      <c r="K120" s="168"/>
      <c r="L120" s="168"/>
      <c r="M120" s="168"/>
      <c r="N120" s="168"/>
      <c r="O120" s="154"/>
      <c r="P120" s="154"/>
      <c r="Q120" s="67" t="s">
        <v>125</v>
      </c>
    </row>
    <row r="121" spans="1:17" ht="17.25" thickBot="1">
      <c r="A121" s="173"/>
      <c r="B121" s="174"/>
      <c r="C121" s="175"/>
      <c r="D121" s="189"/>
      <c r="E121" s="176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75"/>
      <c r="J121" s="175"/>
      <c r="K121" s="175"/>
      <c r="L121" s="175"/>
      <c r="M121" s="175"/>
      <c r="N121" s="175"/>
      <c r="O121" s="155"/>
      <c r="P121" s="155"/>
      <c r="Q121" s="69" t="s">
        <v>125</v>
      </c>
    </row>
    <row r="122" spans="1:17" s="12" customFormat="1">
      <c r="A122" s="161" t="s">
        <v>77</v>
      </c>
      <c r="B122" s="164" t="str">
        <f t="shared" si="22"/>
        <v>구매</v>
      </c>
      <c r="C122" s="167">
        <f>IFERROR(VLOOKUP(A122,'거래소 최저가'!F:G,2,FALSE),0)</f>
        <v>0</v>
      </c>
      <c r="D122" s="179">
        <f t="shared" si="16"/>
        <v>1</v>
      </c>
      <c r="E122" s="170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67">
        <f>IF(ISBLANK(A122),"",SUM(H122:H$207)-SUM(I123:I$207))</f>
        <v>15</v>
      </c>
      <c r="J122" s="167">
        <v>144</v>
      </c>
      <c r="K122" s="167">
        <f>IF(J122=1,1,INT(J122*(1-IF(Q122="배틀아이템",검색!$I$23,IF(Q122="요리",검색!$J$23,IF(Q122="특수",검색!$K$23,IF(Q122="생활도구",검색!$L$23))))*0.01)))</f>
        <v>144</v>
      </c>
      <c r="L122" s="167">
        <v>3</v>
      </c>
      <c r="M122" s="167">
        <f>L122*(1+0.01*IF(Q122="배틀아이템",검색!$I$21,IF(Q122="요리",검색!$J$21,IF(Q122="특수",검색!$K$21,IF(Q122="생활도구",검색!$L$21)))))</f>
        <v>3</v>
      </c>
      <c r="N122" s="167">
        <f t="shared" si="17"/>
        <v>-0.125</v>
      </c>
      <c r="O122" s="153">
        <f t="shared" si="24"/>
        <v>-1250</v>
      </c>
      <c r="P122" s="153">
        <f t="shared" si="18"/>
        <v>-1458.3333333333335</v>
      </c>
      <c r="Q122" s="66" t="s">
        <v>125</v>
      </c>
    </row>
    <row r="123" spans="1:17" s="10" customFormat="1">
      <c r="A123" s="162"/>
      <c r="B123" s="165"/>
      <c r="C123" s="168"/>
      <c r="D123" s="180"/>
      <c r="E123" s="171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68"/>
      <c r="J123" s="168"/>
      <c r="K123" s="168"/>
      <c r="L123" s="168"/>
      <c r="M123" s="168"/>
      <c r="N123" s="168"/>
      <c r="O123" s="154"/>
      <c r="P123" s="154"/>
      <c r="Q123" s="67" t="s">
        <v>125</v>
      </c>
    </row>
    <row r="124" spans="1:17" s="10" customFormat="1">
      <c r="A124" s="162"/>
      <c r="B124" s="165"/>
      <c r="C124" s="168"/>
      <c r="D124" s="180"/>
      <c r="E124" s="171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68"/>
      <c r="J124" s="168"/>
      <c r="K124" s="168"/>
      <c r="L124" s="168"/>
      <c r="M124" s="168"/>
      <c r="N124" s="168"/>
      <c r="O124" s="154"/>
      <c r="P124" s="154"/>
      <c r="Q124" s="67" t="s">
        <v>125</v>
      </c>
    </row>
    <row r="125" spans="1:17" s="10" customFormat="1">
      <c r="A125" s="162"/>
      <c r="B125" s="165"/>
      <c r="C125" s="168"/>
      <c r="D125" s="180"/>
      <c r="E125" s="171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68"/>
      <c r="J125" s="168"/>
      <c r="K125" s="168"/>
      <c r="L125" s="168"/>
      <c r="M125" s="168"/>
      <c r="N125" s="168"/>
      <c r="O125" s="154"/>
      <c r="P125" s="154"/>
      <c r="Q125" s="67" t="s">
        <v>125</v>
      </c>
    </row>
    <row r="126" spans="1:17" s="13" customFormat="1" ht="17.25" thickBot="1">
      <c r="A126" s="173"/>
      <c r="B126" s="174"/>
      <c r="C126" s="175"/>
      <c r="D126" s="189"/>
      <c r="E126" s="176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75"/>
      <c r="J126" s="175"/>
      <c r="K126" s="175"/>
      <c r="L126" s="175"/>
      <c r="M126" s="175"/>
      <c r="N126" s="175"/>
      <c r="O126" s="155"/>
      <c r="P126" s="155"/>
      <c r="Q126" s="69" t="s">
        <v>125</v>
      </c>
    </row>
    <row r="127" spans="1:17" s="12" customFormat="1">
      <c r="A127" s="161" t="s">
        <v>78</v>
      </c>
      <c r="B127" s="164" t="str">
        <f t="shared" si="22"/>
        <v>구매</v>
      </c>
      <c r="C127" s="167">
        <f>IFERROR(VLOOKUP(A127,'거래소 최저가'!F:G,2,FALSE),0)</f>
        <v>0</v>
      </c>
      <c r="D127" s="179">
        <f t="shared" si="16"/>
        <v>1</v>
      </c>
      <c r="E127" s="170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67">
        <f>IF(ISBLANK(A127),"",SUM(H127:H$207)-SUM(I128:I$207))</f>
        <v>15</v>
      </c>
      <c r="J127" s="167">
        <v>144</v>
      </c>
      <c r="K127" s="167">
        <f>IF(J127=1,1,INT(J127*(1-IF(Q127="배틀아이템",검색!$I$23,IF(Q127="요리",검색!$J$23,IF(Q127="특수",검색!$K$23,IF(Q127="생활도구",검색!$L$23))))*0.01)))</f>
        <v>144</v>
      </c>
      <c r="L127" s="167">
        <v>3</v>
      </c>
      <c r="M127" s="167">
        <f>L127*(1+0.01*IF(Q127="배틀아이템",검색!$I$21,IF(Q127="요리",검색!$J$21,IF(Q127="특수",검색!$K$21,IF(Q127="생활도구",검색!$L$21)))))</f>
        <v>3</v>
      </c>
      <c r="N127" s="167">
        <f t="shared" si="17"/>
        <v>-0.125</v>
      </c>
      <c r="O127" s="153">
        <f t="shared" si="24"/>
        <v>-1250</v>
      </c>
      <c r="P127" s="153">
        <f t="shared" si="18"/>
        <v>-1458.3333333333335</v>
      </c>
      <c r="Q127" s="66" t="s">
        <v>125</v>
      </c>
    </row>
    <row r="128" spans="1:17" s="10" customFormat="1">
      <c r="A128" s="162"/>
      <c r="B128" s="165"/>
      <c r="C128" s="168"/>
      <c r="D128" s="180"/>
      <c r="E128" s="171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68"/>
      <c r="J128" s="168"/>
      <c r="K128" s="168"/>
      <c r="L128" s="168"/>
      <c r="M128" s="168"/>
      <c r="N128" s="168"/>
      <c r="O128" s="154"/>
      <c r="P128" s="154"/>
      <c r="Q128" s="67" t="s">
        <v>125</v>
      </c>
    </row>
    <row r="129" spans="1:17" s="10" customFormat="1">
      <c r="A129" s="162"/>
      <c r="B129" s="165"/>
      <c r="C129" s="168"/>
      <c r="D129" s="180"/>
      <c r="E129" s="171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68"/>
      <c r="J129" s="168"/>
      <c r="K129" s="168"/>
      <c r="L129" s="168"/>
      <c r="M129" s="168"/>
      <c r="N129" s="168"/>
      <c r="O129" s="154"/>
      <c r="P129" s="154"/>
      <c r="Q129" s="67" t="s">
        <v>125</v>
      </c>
    </row>
    <row r="130" spans="1:17" s="10" customFormat="1">
      <c r="A130" s="162"/>
      <c r="B130" s="165"/>
      <c r="C130" s="168"/>
      <c r="D130" s="180"/>
      <c r="E130" s="171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68"/>
      <c r="J130" s="168"/>
      <c r="K130" s="168"/>
      <c r="L130" s="168"/>
      <c r="M130" s="168"/>
      <c r="N130" s="168"/>
      <c r="O130" s="154"/>
      <c r="P130" s="154"/>
      <c r="Q130" s="67" t="s">
        <v>125</v>
      </c>
    </row>
    <row r="131" spans="1:17" s="11" customFormat="1" ht="17.25" thickBot="1">
      <c r="A131" s="173"/>
      <c r="B131" s="174"/>
      <c r="C131" s="175"/>
      <c r="D131" s="189"/>
      <c r="E131" s="176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75"/>
      <c r="J131" s="175"/>
      <c r="K131" s="175"/>
      <c r="L131" s="175"/>
      <c r="M131" s="175"/>
      <c r="N131" s="175"/>
      <c r="O131" s="155"/>
      <c r="P131" s="155"/>
      <c r="Q131" s="69" t="s">
        <v>125</v>
      </c>
    </row>
    <row r="132" spans="1:17">
      <c r="A132" s="161" t="s">
        <v>80</v>
      </c>
      <c r="B132" s="164" t="str">
        <f t="shared" si="22"/>
        <v>구매</v>
      </c>
      <c r="C132" s="167">
        <f>IFERROR(VLOOKUP(A132,'거래소 최저가'!F:G,2,FALSE),0)</f>
        <v>0</v>
      </c>
      <c r="D132" s="179">
        <f t="shared" ref="D132:D194" si="25">IFERROR(INT(C132*0.05)+1,"")</f>
        <v>1</v>
      </c>
      <c r="E132" s="170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67">
        <f>IF(ISBLANK(A132),"",SUM(H132:H$207)-SUM(I133:I$207))</f>
        <v>15</v>
      </c>
      <c r="J132" s="167">
        <v>144</v>
      </c>
      <c r="K132" s="167">
        <f>IF(J132=1,1,INT(J132*(1-IF(Q132="배틀아이템",검색!$I$23,IF(Q132="요리",검색!$J$23,IF(Q132="특수",검색!$K$23,IF(Q132="생활도구",검색!$L$23))))*0.01)))</f>
        <v>144</v>
      </c>
      <c r="L132" s="167">
        <v>3</v>
      </c>
      <c r="M132" s="167">
        <f>L132*(1+0.01*IF(Q132="배틀아이템",검색!$I$21,IF(Q132="요리",검색!$J$21,IF(Q132="특수",검색!$K$21,IF(Q132="생활도구",검색!$L$21)))))</f>
        <v>3</v>
      </c>
      <c r="N132" s="167">
        <f t="shared" ref="N132:N194" si="26">IFERROR((((C132-D132)*M132-I132)/K132),"")</f>
        <v>-0.125</v>
      </c>
      <c r="O132" s="153">
        <f t="shared" si="24"/>
        <v>-1250</v>
      </c>
      <c r="P132" s="153">
        <f t="shared" ref="P132:P194" si="27">((C132-D132-1)*M132-I132)/K132*10000</f>
        <v>-1458.3333333333335</v>
      </c>
      <c r="Q132" s="66" t="s">
        <v>125</v>
      </c>
    </row>
    <row r="133" spans="1:17">
      <c r="A133" s="162"/>
      <c r="B133" s="165"/>
      <c r="C133" s="168"/>
      <c r="D133" s="180"/>
      <c r="E133" s="171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68"/>
      <c r="J133" s="168"/>
      <c r="K133" s="168"/>
      <c r="L133" s="168"/>
      <c r="M133" s="168"/>
      <c r="N133" s="168"/>
      <c r="O133" s="154"/>
      <c r="P133" s="154"/>
      <c r="Q133" s="67" t="s">
        <v>125</v>
      </c>
    </row>
    <row r="134" spans="1:17">
      <c r="A134" s="162"/>
      <c r="B134" s="165"/>
      <c r="C134" s="168"/>
      <c r="D134" s="180"/>
      <c r="E134" s="171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68"/>
      <c r="J134" s="168"/>
      <c r="K134" s="168"/>
      <c r="L134" s="168"/>
      <c r="M134" s="168"/>
      <c r="N134" s="168"/>
      <c r="O134" s="154"/>
      <c r="P134" s="154"/>
      <c r="Q134" s="67" t="s">
        <v>125</v>
      </c>
    </row>
    <row r="135" spans="1:17">
      <c r="A135" s="162"/>
      <c r="B135" s="165"/>
      <c r="C135" s="168"/>
      <c r="D135" s="180"/>
      <c r="E135" s="171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68"/>
      <c r="J135" s="168"/>
      <c r="K135" s="168"/>
      <c r="L135" s="168"/>
      <c r="M135" s="168"/>
      <c r="N135" s="168"/>
      <c r="O135" s="154"/>
      <c r="P135" s="154"/>
      <c r="Q135" s="67" t="s">
        <v>125</v>
      </c>
    </row>
    <row r="136" spans="1:17" ht="17.25" thickBot="1">
      <c r="A136" s="173"/>
      <c r="B136" s="174"/>
      <c r="C136" s="175"/>
      <c r="D136" s="189"/>
      <c r="E136" s="176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75"/>
      <c r="J136" s="175"/>
      <c r="K136" s="175"/>
      <c r="L136" s="175"/>
      <c r="M136" s="175"/>
      <c r="N136" s="175"/>
      <c r="O136" s="155"/>
      <c r="P136" s="155"/>
      <c r="Q136" s="69" t="s">
        <v>125</v>
      </c>
    </row>
    <row r="137" spans="1:17">
      <c r="A137" s="161" t="s">
        <v>82</v>
      </c>
      <c r="B137" s="164" t="str">
        <f t="shared" si="22"/>
        <v>구매</v>
      </c>
      <c r="C137" s="167">
        <f>IFERROR(VLOOKUP(A137,'거래소 최저가'!F:G,2,FALSE),0)</f>
        <v>0</v>
      </c>
      <c r="D137" s="179">
        <f t="shared" si="25"/>
        <v>1</v>
      </c>
      <c r="E137" s="170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67">
        <f>IF(ISBLANK(A137),"",SUM(H137:H$207)-SUM(I138:I$207))</f>
        <v>15</v>
      </c>
      <c r="J137" s="167">
        <v>144</v>
      </c>
      <c r="K137" s="167">
        <f>IF(J137=1,1,INT(J137*(1-IF(Q137="배틀아이템",검색!$I$23,IF(Q137="요리",검색!$J$23,IF(Q137="특수",검색!$K$23,IF(Q137="생활도구",검색!$L$23))))*0.01)))</f>
        <v>144</v>
      </c>
      <c r="L137" s="167">
        <v>3</v>
      </c>
      <c r="M137" s="167">
        <f>L137*(1+0.01*IF(Q137="배틀아이템",검색!$I$21,IF(Q137="요리",검색!$J$21,IF(Q137="특수",검색!$K$21,IF(Q137="생활도구",검색!$L$21)))))</f>
        <v>3</v>
      </c>
      <c r="N137" s="167">
        <f t="shared" si="26"/>
        <v>-0.125</v>
      </c>
      <c r="O137" s="153">
        <f t="shared" si="24"/>
        <v>-1250</v>
      </c>
      <c r="P137" s="153">
        <f t="shared" si="27"/>
        <v>-1458.3333333333335</v>
      </c>
      <c r="Q137" s="66" t="s">
        <v>125</v>
      </c>
    </row>
    <row r="138" spans="1:17">
      <c r="A138" s="162"/>
      <c r="B138" s="165"/>
      <c r="C138" s="168"/>
      <c r="D138" s="180"/>
      <c r="E138" s="171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68"/>
      <c r="J138" s="168"/>
      <c r="K138" s="168"/>
      <c r="L138" s="168"/>
      <c r="M138" s="168"/>
      <c r="N138" s="168"/>
      <c r="O138" s="154"/>
      <c r="P138" s="154"/>
      <c r="Q138" s="67" t="s">
        <v>125</v>
      </c>
    </row>
    <row r="139" spans="1:17">
      <c r="A139" s="162"/>
      <c r="B139" s="165"/>
      <c r="C139" s="168"/>
      <c r="D139" s="180"/>
      <c r="E139" s="171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68"/>
      <c r="J139" s="168"/>
      <c r="K139" s="168"/>
      <c r="L139" s="168"/>
      <c r="M139" s="168"/>
      <c r="N139" s="168"/>
      <c r="O139" s="154"/>
      <c r="P139" s="154"/>
      <c r="Q139" s="67" t="s">
        <v>125</v>
      </c>
    </row>
    <row r="140" spans="1:17">
      <c r="A140" s="162"/>
      <c r="B140" s="165"/>
      <c r="C140" s="168"/>
      <c r="D140" s="180"/>
      <c r="E140" s="171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68"/>
      <c r="J140" s="168"/>
      <c r="K140" s="168"/>
      <c r="L140" s="168"/>
      <c r="M140" s="168"/>
      <c r="N140" s="168"/>
      <c r="O140" s="154"/>
      <c r="P140" s="154"/>
      <c r="Q140" s="67" t="s">
        <v>125</v>
      </c>
    </row>
    <row r="141" spans="1:17" ht="17.25" thickBot="1">
      <c r="A141" s="173"/>
      <c r="B141" s="174"/>
      <c r="C141" s="175"/>
      <c r="D141" s="189"/>
      <c r="E141" s="176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75"/>
      <c r="J141" s="175"/>
      <c r="K141" s="175"/>
      <c r="L141" s="175"/>
      <c r="M141" s="175"/>
      <c r="N141" s="175"/>
      <c r="O141" s="155"/>
      <c r="P141" s="155"/>
      <c r="Q141" s="69" t="s">
        <v>125</v>
      </c>
    </row>
    <row r="142" spans="1:17">
      <c r="A142" s="161" t="s">
        <v>83</v>
      </c>
      <c r="B142" s="164" t="str">
        <f t="shared" si="22"/>
        <v>구매</v>
      </c>
      <c r="C142" s="167">
        <f>IFERROR(VLOOKUP(A142,'거래소 최저가'!F:G,2,FALSE),0)</f>
        <v>0</v>
      </c>
      <c r="D142" s="179">
        <f t="shared" si="25"/>
        <v>1</v>
      </c>
      <c r="E142" s="170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67">
        <f>IF(ISBLANK(A142),"",SUM(H142:H$207)-SUM(I143:I$207))</f>
        <v>15</v>
      </c>
      <c r="J142" s="167">
        <v>144</v>
      </c>
      <c r="K142" s="167">
        <f>IF(J142=1,1,INT(J142*(1-IF(Q142="배틀아이템",검색!$I$23,IF(Q142="요리",검색!$J$23,IF(Q142="특수",검색!$K$23,IF(Q142="생활도구",검색!$L$23))))*0.01)))</f>
        <v>144</v>
      </c>
      <c r="L142" s="167">
        <v>3</v>
      </c>
      <c r="M142" s="167">
        <f>L142*(1+0.01*IF(Q142="배틀아이템",검색!$I$21,IF(Q142="요리",검색!$J$21,IF(Q142="특수",검색!$K$21,IF(Q142="생활도구",검색!$L$21)))))</f>
        <v>3</v>
      </c>
      <c r="N142" s="167">
        <f t="shared" si="26"/>
        <v>-0.125</v>
      </c>
      <c r="O142" s="153">
        <f t="shared" si="24"/>
        <v>-1250</v>
      </c>
      <c r="P142" s="153">
        <f t="shared" si="27"/>
        <v>-1458.3333333333335</v>
      </c>
      <c r="Q142" s="66" t="s">
        <v>125</v>
      </c>
    </row>
    <row r="143" spans="1:17">
      <c r="A143" s="162"/>
      <c r="B143" s="165"/>
      <c r="C143" s="168"/>
      <c r="D143" s="180"/>
      <c r="E143" s="171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68"/>
      <c r="J143" s="168"/>
      <c r="K143" s="168"/>
      <c r="L143" s="168"/>
      <c r="M143" s="168"/>
      <c r="N143" s="168"/>
      <c r="O143" s="154"/>
      <c r="P143" s="154"/>
      <c r="Q143" s="67" t="s">
        <v>125</v>
      </c>
    </row>
    <row r="144" spans="1:17">
      <c r="A144" s="162"/>
      <c r="B144" s="165"/>
      <c r="C144" s="168"/>
      <c r="D144" s="180"/>
      <c r="E144" s="171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68"/>
      <c r="J144" s="168"/>
      <c r="K144" s="168"/>
      <c r="L144" s="168"/>
      <c r="M144" s="168"/>
      <c r="N144" s="168"/>
      <c r="O144" s="154"/>
      <c r="P144" s="154"/>
      <c r="Q144" s="67" t="s">
        <v>125</v>
      </c>
    </row>
    <row r="145" spans="1:17">
      <c r="A145" s="162"/>
      <c r="B145" s="165"/>
      <c r="C145" s="168"/>
      <c r="D145" s="180"/>
      <c r="E145" s="171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68"/>
      <c r="J145" s="168"/>
      <c r="K145" s="168"/>
      <c r="L145" s="168"/>
      <c r="M145" s="168"/>
      <c r="N145" s="168"/>
      <c r="O145" s="154"/>
      <c r="P145" s="154"/>
      <c r="Q145" s="67" t="s">
        <v>125</v>
      </c>
    </row>
    <row r="146" spans="1:17" ht="17.25" thickBot="1">
      <c r="A146" s="173"/>
      <c r="B146" s="174"/>
      <c r="C146" s="175"/>
      <c r="D146" s="189"/>
      <c r="E146" s="176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75"/>
      <c r="J146" s="175"/>
      <c r="K146" s="175"/>
      <c r="L146" s="175"/>
      <c r="M146" s="175"/>
      <c r="N146" s="175"/>
      <c r="O146" s="155"/>
      <c r="P146" s="155"/>
      <c r="Q146" s="69" t="s">
        <v>125</v>
      </c>
    </row>
    <row r="147" spans="1:17">
      <c r="A147" s="161" t="s">
        <v>84</v>
      </c>
      <c r="B147" s="164" t="str">
        <f t="shared" ref="B147:B176" si="28">IFERROR(IF(ISBLANK(A147),"",IF(C147&gt;E147,"제작","구매")),"")</f>
        <v>구매</v>
      </c>
      <c r="C147" s="167">
        <f>IFERROR(VLOOKUP(A147,'거래소 최저가'!F:G,2,FALSE),0)</f>
        <v>0</v>
      </c>
      <c r="D147" s="179">
        <f t="shared" si="25"/>
        <v>1</v>
      </c>
      <c r="E147" s="170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67">
        <f>IF(ISBLANK(A147),"",SUM(H147:H$207)-SUM(I148:I$207))</f>
        <v>15</v>
      </c>
      <c r="J147" s="167">
        <v>144</v>
      </c>
      <c r="K147" s="167">
        <f>IF(J147=1,1,INT(J147*(1-IF(Q147="배틀아이템",검색!$I$23,IF(Q147="요리",검색!$J$23,IF(Q147="특수",검색!$K$23,IF(Q147="생활도구",검색!$L$23))))*0.01)))</f>
        <v>144</v>
      </c>
      <c r="L147" s="167">
        <v>3</v>
      </c>
      <c r="M147" s="167">
        <f>L147*(1+0.01*IF(Q147="배틀아이템",검색!$I$21,IF(Q147="요리",검색!$J$21,IF(Q147="특수",검색!$K$21,IF(Q147="생활도구",검색!$L$21)))))</f>
        <v>3</v>
      </c>
      <c r="N147" s="167">
        <f t="shared" si="26"/>
        <v>-0.125</v>
      </c>
      <c r="O147" s="153">
        <f t="shared" si="24"/>
        <v>-1250</v>
      </c>
      <c r="P147" s="153">
        <f t="shared" si="27"/>
        <v>-1458.3333333333335</v>
      </c>
      <c r="Q147" s="66" t="s">
        <v>125</v>
      </c>
    </row>
    <row r="148" spans="1:17">
      <c r="A148" s="162"/>
      <c r="B148" s="165"/>
      <c r="C148" s="168"/>
      <c r="D148" s="180"/>
      <c r="E148" s="171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68"/>
      <c r="J148" s="168"/>
      <c r="K148" s="168"/>
      <c r="L148" s="168"/>
      <c r="M148" s="168"/>
      <c r="N148" s="168"/>
      <c r="O148" s="154"/>
      <c r="P148" s="154"/>
      <c r="Q148" s="67" t="s">
        <v>125</v>
      </c>
    </row>
    <row r="149" spans="1:17">
      <c r="A149" s="162"/>
      <c r="B149" s="165"/>
      <c r="C149" s="168"/>
      <c r="D149" s="180"/>
      <c r="E149" s="171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68"/>
      <c r="J149" s="168"/>
      <c r="K149" s="168"/>
      <c r="L149" s="168"/>
      <c r="M149" s="168"/>
      <c r="N149" s="168"/>
      <c r="O149" s="154"/>
      <c r="P149" s="154"/>
      <c r="Q149" s="67" t="s">
        <v>125</v>
      </c>
    </row>
    <row r="150" spans="1:17">
      <c r="A150" s="162"/>
      <c r="B150" s="165"/>
      <c r="C150" s="168"/>
      <c r="D150" s="180"/>
      <c r="E150" s="171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68"/>
      <c r="J150" s="168"/>
      <c r="K150" s="168"/>
      <c r="L150" s="168"/>
      <c r="M150" s="168"/>
      <c r="N150" s="168"/>
      <c r="O150" s="154"/>
      <c r="P150" s="154"/>
      <c r="Q150" s="67" t="s">
        <v>125</v>
      </c>
    </row>
    <row r="151" spans="1:17" ht="17.25" thickBot="1">
      <c r="A151" s="173"/>
      <c r="B151" s="174"/>
      <c r="C151" s="175"/>
      <c r="D151" s="189"/>
      <c r="E151" s="176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75"/>
      <c r="J151" s="175"/>
      <c r="K151" s="175"/>
      <c r="L151" s="175"/>
      <c r="M151" s="175"/>
      <c r="N151" s="175"/>
      <c r="O151" s="155"/>
      <c r="P151" s="155"/>
      <c r="Q151" s="69" t="s">
        <v>125</v>
      </c>
    </row>
    <row r="152" spans="1:17">
      <c r="A152" s="161" t="s">
        <v>85</v>
      </c>
      <c r="B152" s="164" t="str">
        <f t="shared" si="28"/>
        <v>구매</v>
      </c>
      <c r="C152" s="167">
        <f>IFERROR(VLOOKUP(A152,'거래소 최저가'!F:G,2,FALSE),0)</f>
        <v>0</v>
      </c>
      <c r="D152" s="179">
        <f t="shared" si="25"/>
        <v>1</v>
      </c>
      <c r="E152" s="170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67">
        <f>IF(ISBLANK(A152),"",SUM(H152:H$207)-SUM(I153:I$207))</f>
        <v>15</v>
      </c>
      <c r="J152" s="167">
        <v>144</v>
      </c>
      <c r="K152" s="167">
        <f>IF(J152=1,1,INT(J152*(1-IF(Q152="배틀아이템",검색!$I$23,IF(Q152="요리",검색!$J$23,IF(Q152="특수",검색!$K$23,IF(Q152="생활도구",검색!$L$23))))*0.01)))</f>
        <v>144</v>
      </c>
      <c r="L152" s="167">
        <v>3</v>
      </c>
      <c r="M152" s="167">
        <f>L152*(1+0.01*IF(Q152="배틀아이템",검색!$I$21,IF(Q152="요리",검색!$J$21,IF(Q152="특수",검색!$K$21,IF(Q152="생활도구",검색!$L$21)))))</f>
        <v>3</v>
      </c>
      <c r="N152" s="167">
        <f t="shared" si="26"/>
        <v>-0.125</v>
      </c>
      <c r="O152" s="153">
        <f t="shared" ref="O152:O182" si="30">N152*10000</f>
        <v>-1250</v>
      </c>
      <c r="P152" s="153">
        <f t="shared" si="27"/>
        <v>-1458.3333333333335</v>
      </c>
      <c r="Q152" s="66" t="s">
        <v>125</v>
      </c>
    </row>
    <row r="153" spans="1:17">
      <c r="A153" s="162"/>
      <c r="B153" s="165"/>
      <c r="C153" s="168"/>
      <c r="D153" s="180"/>
      <c r="E153" s="171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68"/>
      <c r="J153" s="168"/>
      <c r="K153" s="168"/>
      <c r="L153" s="168"/>
      <c r="M153" s="168"/>
      <c r="N153" s="168"/>
      <c r="O153" s="154"/>
      <c r="P153" s="154"/>
      <c r="Q153" s="67" t="s">
        <v>125</v>
      </c>
    </row>
    <row r="154" spans="1:17">
      <c r="A154" s="162"/>
      <c r="B154" s="165"/>
      <c r="C154" s="168"/>
      <c r="D154" s="180"/>
      <c r="E154" s="171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68"/>
      <c r="J154" s="168"/>
      <c r="K154" s="168"/>
      <c r="L154" s="168"/>
      <c r="M154" s="168"/>
      <c r="N154" s="168"/>
      <c r="O154" s="154"/>
      <c r="P154" s="154"/>
      <c r="Q154" s="67" t="s">
        <v>125</v>
      </c>
    </row>
    <row r="155" spans="1:17">
      <c r="A155" s="162"/>
      <c r="B155" s="165"/>
      <c r="C155" s="168"/>
      <c r="D155" s="180"/>
      <c r="E155" s="171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68"/>
      <c r="J155" s="168"/>
      <c r="K155" s="168"/>
      <c r="L155" s="168"/>
      <c r="M155" s="168"/>
      <c r="N155" s="168"/>
      <c r="O155" s="154"/>
      <c r="P155" s="154"/>
      <c r="Q155" s="67" t="s">
        <v>125</v>
      </c>
    </row>
    <row r="156" spans="1:17" ht="17.25" thickBot="1">
      <c r="A156" s="173"/>
      <c r="B156" s="174"/>
      <c r="C156" s="175"/>
      <c r="D156" s="189"/>
      <c r="E156" s="176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75"/>
      <c r="J156" s="175"/>
      <c r="K156" s="175"/>
      <c r="L156" s="175"/>
      <c r="M156" s="175"/>
      <c r="N156" s="175"/>
      <c r="O156" s="155"/>
      <c r="P156" s="155"/>
      <c r="Q156" s="69" t="s">
        <v>125</v>
      </c>
    </row>
    <row r="157" spans="1:17">
      <c r="A157" s="161" t="s">
        <v>86</v>
      </c>
      <c r="B157" s="164" t="str">
        <f t="shared" si="28"/>
        <v>구매</v>
      </c>
      <c r="C157" s="167">
        <f>IFERROR(VLOOKUP(A157,'거래소 최저가'!F:G,2,FALSE),0)</f>
        <v>0</v>
      </c>
      <c r="D157" s="179">
        <f t="shared" si="25"/>
        <v>1</v>
      </c>
      <c r="E157" s="170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67">
        <f>IF(ISBLANK(A157),"",SUM(H157:H$207)-SUM(I158:I$207))</f>
        <v>15</v>
      </c>
      <c r="J157" s="167">
        <v>144</v>
      </c>
      <c r="K157" s="167">
        <f>IF(J157=1,1,INT(J157*(1-IF(Q157="배틀아이템",검색!$I$23,IF(Q157="요리",검색!$J$23,IF(Q157="특수",검색!$K$23,IF(Q157="생활도구",검색!$L$23))))*0.01)))</f>
        <v>144</v>
      </c>
      <c r="L157" s="167">
        <v>3</v>
      </c>
      <c r="M157" s="167">
        <f>L157*(1+0.01*IF(Q157="배틀아이템",검색!$I$21,IF(Q157="요리",검색!$J$21,IF(Q157="특수",검색!$K$21,IF(Q157="생활도구",검색!$L$21)))))</f>
        <v>3</v>
      </c>
      <c r="N157" s="167">
        <f t="shared" si="26"/>
        <v>-0.125</v>
      </c>
      <c r="O157" s="153">
        <f t="shared" si="30"/>
        <v>-1250</v>
      </c>
      <c r="P157" s="153">
        <f t="shared" si="27"/>
        <v>-1458.3333333333335</v>
      </c>
      <c r="Q157" s="66" t="s">
        <v>125</v>
      </c>
    </row>
    <row r="158" spans="1:17">
      <c r="A158" s="162"/>
      <c r="B158" s="165"/>
      <c r="C158" s="168"/>
      <c r="D158" s="180"/>
      <c r="E158" s="171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68"/>
      <c r="J158" s="168"/>
      <c r="K158" s="168"/>
      <c r="L158" s="168"/>
      <c r="M158" s="168"/>
      <c r="N158" s="168"/>
      <c r="O158" s="154"/>
      <c r="P158" s="154"/>
      <c r="Q158" s="67" t="s">
        <v>125</v>
      </c>
    </row>
    <row r="159" spans="1:17">
      <c r="A159" s="162"/>
      <c r="B159" s="165"/>
      <c r="C159" s="168"/>
      <c r="D159" s="180"/>
      <c r="E159" s="171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68"/>
      <c r="J159" s="168"/>
      <c r="K159" s="168"/>
      <c r="L159" s="168"/>
      <c r="M159" s="168"/>
      <c r="N159" s="168"/>
      <c r="O159" s="154"/>
      <c r="P159" s="154"/>
      <c r="Q159" s="67" t="s">
        <v>125</v>
      </c>
    </row>
    <row r="160" spans="1:17">
      <c r="A160" s="162"/>
      <c r="B160" s="165"/>
      <c r="C160" s="168"/>
      <c r="D160" s="180"/>
      <c r="E160" s="171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68"/>
      <c r="J160" s="168"/>
      <c r="K160" s="168"/>
      <c r="L160" s="168"/>
      <c r="M160" s="168"/>
      <c r="N160" s="168"/>
      <c r="O160" s="154"/>
      <c r="P160" s="154"/>
      <c r="Q160" s="67" t="s">
        <v>125</v>
      </c>
    </row>
    <row r="161" spans="1:17" ht="17.25" thickBot="1">
      <c r="A161" s="173"/>
      <c r="B161" s="174"/>
      <c r="C161" s="175"/>
      <c r="D161" s="189"/>
      <c r="E161" s="176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75"/>
      <c r="J161" s="175"/>
      <c r="K161" s="175"/>
      <c r="L161" s="175"/>
      <c r="M161" s="175"/>
      <c r="N161" s="175"/>
      <c r="O161" s="155"/>
      <c r="P161" s="155"/>
      <c r="Q161" s="69" t="s">
        <v>125</v>
      </c>
    </row>
    <row r="162" spans="1:17">
      <c r="A162" s="161" t="s">
        <v>87</v>
      </c>
      <c r="B162" s="164" t="str">
        <f t="shared" si="28"/>
        <v>구매</v>
      </c>
      <c r="C162" s="167">
        <f>IFERROR(VLOOKUP(A162,'거래소 최저가'!F:G,2,FALSE),0)</f>
        <v>0</v>
      </c>
      <c r="D162" s="179">
        <f t="shared" si="25"/>
        <v>1</v>
      </c>
      <c r="E162" s="170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67">
        <f>IF(ISBLANK(A162),"",SUM(H162:H$207)-SUM(I163:I$207))</f>
        <v>15</v>
      </c>
      <c r="J162" s="167">
        <v>144</v>
      </c>
      <c r="K162" s="167">
        <f>IF(J162=1,1,INT(J162*(1-IF(Q162="배틀아이템",검색!$I$23,IF(Q162="요리",검색!$J$23,IF(Q162="특수",검색!$K$23,IF(Q162="생활도구",검색!$L$23))))*0.01)))</f>
        <v>144</v>
      </c>
      <c r="L162" s="167">
        <v>3</v>
      </c>
      <c r="M162" s="167">
        <f>L162*(1+0.01*IF(Q162="배틀아이템",검색!$I$21,IF(Q162="요리",검색!$J$21,IF(Q162="특수",검색!$K$21,IF(Q162="생활도구",검색!$L$21)))))</f>
        <v>3</v>
      </c>
      <c r="N162" s="167">
        <f t="shared" si="26"/>
        <v>-0.125</v>
      </c>
      <c r="O162" s="153">
        <f t="shared" si="30"/>
        <v>-1250</v>
      </c>
      <c r="P162" s="153">
        <f t="shared" si="27"/>
        <v>-1458.3333333333335</v>
      </c>
      <c r="Q162" s="66" t="s">
        <v>125</v>
      </c>
    </row>
    <row r="163" spans="1:17">
      <c r="A163" s="162"/>
      <c r="B163" s="165"/>
      <c r="C163" s="168"/>
      <c r="D163" s="180"/>
      <c r="E163" s="171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68"/>
      <c r="J163" s="168"/>
      <c r="K163" s="168"/>
      <c r="L163" s="168"/>
      <c r="M163" s="168"/>
      <c r="N163" s="168"/>
      <c r="O163" s="154"/>
      <c r="P163" s="154"/>
      <c r="Q163" s="67" t="s">
        <v>125</v>
      </c>
    </row>
    <row r="164" spans="1:17">
      <c r="A164" s="162"/>
      <c r="B164" s="165"/>
      <c r="C164" s="168"/>
      <c r="D164" s="180"/>
      <c r="E164" s="171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68"/>
      <c r="J164" s="168"/>
      <c r="K164" s="168"/>
      <c r="L164" s="168"/>
      <c r="M164" s="168"/>
      <c r="N164" s="168"/>
      <c r="O164" s="154"/>
      <c r="P164" s="154"/>
      <c r="Q164" s="67" t="s">
        <v>125</v>
      </c>
    </row>
    <row r="165" spans="1:17">
      <c r="A165" s="162"/>
      <c r="B165" s="165"/>
      <c r="C165" s="168"/>
      <c r="D165" s="180"/>
      <c r="E165" s="171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68"/>
      <c r="J165" s="168"/>
      <c r="K165" s="168"/>
      <c r="L165" s="168"/>
      <c r="M165" s="168"/>
      <c r="N165" s="168"/>
      <c r="O165" s="154"/>
      <c r="P165" s="154"/>
      <c r="Q165" s="67" t="s">
        <v>125</v>
      </c>
    </row>
    <row r="166" spans="1:17" ht="17.25" thickBot="1">
      <c r="A166" s="173"/>
      <c r="B166" s="174"/>
      <c r="C166" s="175"/>
      <c r="D166" s="189"/>
      <c r="E166" s="176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75"/>
      <c r="J166" s="175"/>
      <c r="K166" s="175"/>
      <c r="L166" s="175"/>
      <c r="M166" s="175"/>
      <c r="N166" s="175"/>
      <c r="O166" s="155"/>
      <c r="P166" s="155"/>
      <c r="Q166" s="69" t="s">
        <v>125</v>
      </c>
    </row>
    <row r="167" spans="1:17">
      <c r="A167" s="161" t="s">
        <v>88</v>
      </c>
      <c r="B167" s="164" t="str">
        <f t="shared" si="28"/>
        <v>구매</v>
      </c>
      <c r="C167" s="167">
        <f>IFERROR(VLOOKUP(A167,'거래소 최저가'!F:G,2,FALSE),0)</f>
        <v>0</v>
      </c>
      <c r="D167" s="179">
        <f t="shared" si="25"/>
        <v>1</v>
      </c>
      <c r="E167" s="170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67">
        <f>IF(ISBLANK(A167),"",SUM(H167:H$207)-SUM(I168:I$207))</f>
        <v>15</v>
      </c>
      <c r="J167" s="167">
        <v>144</v>
      </c>
      <c r="K167" s="167">
        <f>IF(J167=1,1,INT(J167*(1-IF(Q167="배틀아이템",검색!$I$23,IF(Q167="요리",검색!$J$23,IF(Q167="특수",검색!$K$23,IF(Q167="생활도구",검색!$L$23))))*0.01)))</f>
        <v>144</v>
      </c>
      <c r="L167" s="167">
        <v>3</v>
      </c>
      <c r="M167" s="167">
        <f>L167*(1+0.01*IF(Q167="배틀아이템",검색!$I$21,IF(Q167="요리",검색!$J$21,IF(Q167="특수",검색!$K$21,IF(Q167="생활도구",검색!$L$21)))))</f>
        <v>3</v>
      </c>
      <c r="N167" s="167">
        <f t="shared" si="26"/>
        <v>-0.125</v>
      </c>
      <c r="O167" s="153">
        <f t="shared" si="30"/>
        <v>-1250</v>
      </c>
      <c r="P167" s="153">
        <f t="shared" si="27"/>
        <v>-1458.3333333333335</v>
      </c>
      <c r="Q167" s="66" t="s">
        <v>125</v>
      </c>
    </row>
    <row r="168" spans="1:17">
      <c r="A168" s="162"/>
      <c r="B168" s="165"/>
      <c r="C168" s="168"/>
      <c r="D168" s="180"/>
      <c r="E168" s="171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68"/>
      <c r="J168" s="168"/>
      <c r="K168" s="168"/>
      <c r="L168" s="168"/>
      <c r="M168" s="168"/>
      <c r="N168" s="168"/>
      <c r="O168" s="154"/>
      <c r="P168" s="154"/>
      <c r="Q168" s="67" t="s">
        <v>125</v>
      </c>
    </row>
    <row r="169" spans="1:17">
      <c r="A169" s="162"/>
      <c r="B169" s="165"/>
      <c r="C169" s="168"/>
      <c r="D169" s="180"/>
      <c r="E169" s="171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68"/>
      <c r="J169" s="168"/>
      <c r="K169" s="168"/>
      <c r="L169" s="168"/>
      <c r="M169" s="168"/>
      <c r="N169" s="168"/>
      <c r="O169" s="154"/>
      <c r="P169" s="154"/>
      <c r="Q169" s="67" t="s">
        <v>125</v>
      </c>
    </row>
    <row r="170" spans="1:17">
      <c r="A170" s="162"/>
      <c r="B170" s="165"/>
      <c r="C170" s="168"/>
      <c r="D170" s="180"/>
      <c r="E170" s="171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68"/>
      <c r="J170" s="168"/>
      <c r="K170" s="168"/>
      <c r="L170" s="168"/>
      <c r="M170" s="168"/>
      <c r="N170" s="168"/>
      <c r="O170" s="154"/>
      <c r="P170" s="154"/>
      <c r="Q170" s="67" t="s">
        <v>125</v>
      </c>
    </row>
    <row r="171" spans="1:17" ht="17.25" thickBot="1">
      <c r="A171" s="173"/>
      <c r="B171" s="174"/>
      <c r="C171" s="175"/>
      <c r="D171" s="189"/>
      <c r="E171" s="176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75"/>
      <c r="J171" s="175"/>
      <c r="K171" s="175"/>
      <c r="L171" s="175"/>
      <c r="M171" s="175"/>
      <c r="N171" s="175"/>
      <c r="O171" s="155"/>
      <c r="P171" s="155"/>
      <c r="Q171" s="69" t="s">
        <v>125</v>
      </c>
    </row>
    <row r="172" spans="1:17">
      <c r="A172" s="161" t="s">
        <v>89</v>
      </c>
      <c r="B172" s="164" t="str">
        <f t="shared" si="28"/>
        <v>구매</v>
      </c>
      <c r="C172" s="167">
        <f>IFERROR(VLOOKUP(A172,'거래소 최저가'!F:G,2,FALSE),0)</f>
        <v>0</v>
      </c>
      <c r="D172" s="179">
        <f t="shared" si="25"/>
        <v>1</v>
      </c>
      <c r="E172" s="170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67">
        <f>IF(ISBLANK(A172),"",SUM(H172:H$207)-SUM(I173:I$207))</f>
        <v>15</v>
      </c>
      <c r="J172" s="167">
        <v>144</v>
      </c>
      <c r="K172" s="167">
        <f>IF(J172=1,1,INT(J172*(1-IF(Q172="배틀아이템",검색!$I$23,IF(Q172="요리",검색!$J$23,IF(Q172="특수",검색!$K$23,IF(Q172="생활도구",검색!$L$23))))*0.01)))</f>
        <v>144</v>
      </c>
      <c r="L172" s="167">
        <v>3</v>
      </c>
      <c r="M172" s="167">
        <f>L172*(1+0.01*IF(Q172="배틀아이템",검색!$I$21,IF(Q172="요리",검색!$J$21,IF(Q172="특수",검색!$K$21,IF(Q172="생활도구",검색!$L$21)))))</f>
        <v>3</v>
      </c>
      <c r="N172" s="167">
        <f t="shared" si="26"/>
        <v>-0.125</v>
      </c>
      <c r="O172" s="153">
        <f t="shared" si="30"/>
        <v>-1250</v>
      </c>
      <c r="P172" s="153">
        <f t="shared" si="27"/>
        <v>-1458.3333333333335</v>
      </c>
      <c r="Q172" s="66" t="s">
        <v>125</v>
      </c>
    </row>
    <row r="173" spans="1:17">
      <c r="A173" s="162"/>
      <c r="B173" s="165"/>
      <c r="C173" s="168"/>
      <c r="D173" s="180"/>
      <c r="E173" s="171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68"/>
      <c r="J173" s="168"/>
      <c r="K173" s="168"/>
      <c r="L173" s="168"/>
      <c r="M173" s="168"/>
      <c r="N173" s="168"/>
      <c r="O173" s="154"/>
      <c r="P173" s="154"/>
      <c r="Q173" s="67" t="s">
        <v>125</v>
      </c>
    </row>
    <row r="174" spans="1:17">
      <c r="A174" s="162"/>
      <c r="B174" s="165"/>
      <c r="C174" s="168"/>
      <c r="D174" s="180"/>
      <c r="E174" s="171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68"/>
      <c r="J174" s="168"/>
      <c r="K174" s="168"/>
      <c r="L174" s="168"/>
      <c r="M174" s="168"/>
      <c r="N174" s="168"/>
      <c r="O174" s="154"/>
      <c r="P174" s="154"/>
      <c r="Q174" s="67" t="s">
        <v>125</v>
      </c>
    </row>
    <row r="175" spans="1:17" ht="17.25" thickBot="1">
      <c r="A175" s="173"/>
      <c r="B175" s="174"/>
      <c r="C175" s="175"/>
      <c r="D175" s="189"/>
      <c r="E175" s="176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75"/>
      <c r="J175" s="175"/>
      <c r="K175" s="175"/>
      <c r="L175" s="175"/>
      <c r="M175" s="175"/>
      <c r="N175" s="175"/>
      <c r="O175" s="155"/>
      <c r="P175" s="155"/>
      <c r="Q175" s="69" t="s">
        <v>125</v>
      </c>
    </row>
    <row r="176" spans="1:17">
      <c r="A176" s="161" t="s">
        <v>90</v>
      </c>
      <c r="B176" s="164" t="str">
        <f t="shared" si="28"/>
        <v>구매</v>
      </c>
      <c r="C176" s="167">
        <f>IFERROR(VLOOKUP(A176,'거래소 최저가'!F:G,2,FALSE),0)</f>
        <v>0</v>
      </c>
      <c r="D176" s="179">
        <f t="shared" si="25"/>
        <v>1</v>
      </c>
      <c r="E176" s="170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67">
        <f>IF(ISBLANK(A176),"",SUM(H176:H$207)-SUM(I177:I$207))</f>
        <v>30</v>
      </c>
      <c r="J176" s="167">
        <v>288</v>
      </c>
      <c r="K176" s="167">
        <f>IF(J176=1,1,INT(J176*(1-IF(Q176="배틀아이템",검색!$I$23,IF(Q176="요리",검색!$J$23,IF(Q176="특수",검색!$K$23,IF(Q176="생활도구",검색!$L$23))))*0.01)))</f>
        <v>288</v>
      </c>
      <c r="L176" s="167">
        <v>3</v>
      </c>
      <c r="M176" s="167">
        <f>L176*(1+0.01*IF(Q176="배틀아이템",검색!$I$21,IF(Q176="요리",검색!$J$21,IF(Q176="특수",검색!$K$21,IF(Q176="생활도구",검색!$L$21)))))</f>
        <v>3</v>
      </c>
      <c r="N176" s="167">
        <f t="shared" si="26"/>
        <v>-0.11458333333333333</v>
      </c>
      <c r="O176" s="153">
        <f t="shared" si="30"/>
        <v>-1145.8333333333333</v>
      </c>
      <c r="P176" s="153">
        <f t="shared" si="27"/>
        <v>-1250</v>
      </c>
      <c r="Q176" s="66" t="s">
        <v>125</v>
      </c>
    </row>
    <row r="177" spans="1:17">
      <c r="A177" s="162"/>
      <c r="B177" s="165"/>
      <c r="C177" s="168"/>
      <c r="D177" s="180"/>
      <c r="E177" s="171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68"/>
      <c r="J177" s="168"/>
      <c r="K177" s="168"/>
      <c r="L177" s="168"/>
      <c r="M177" s="168"/>
      <c r="N177" s="168"/>
      <c r="O177" s="154"/>
      <c r="P177" s="154"/>
      <c r="Q177" s="67" t="s">
        <v>125</v>
      </c>
    </row>
    <row r="178" spans="1:17">
      <c r="A178" s="162"/>
      <c r="B178" s="165"/>
      <c r="C178" s="168"/>
      <c r="D178" s="180"/>
      <c r="E178" s="171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68"/>
      <c r="J178" s="168"/>
      <c r="K178" s="168"/>
      <c r="L178" s="168"/>
      <c r="M178" s="168"/>
      <c r="N178" s="168"/>
      <c r="O178" s="154"/>
      <c r="P178" s="154"/>
      <c r="Q178" s="67" t="s">
        <v>125</v>
      </c>
    </row>
    <row r="179" spans="1:17">
      <c r="A179" s="162"/>
      <c r="B179" s="165"/>
      <c r="C179" s="168"/>
      <c r="D179" s="180"/>
      <c r="E179" s="171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68"/>
      <c r="J179" s="168"/>
      <c r="K179" s="168"/>
      <c r="L179" s="168"/>
      <c r="M179" s="168"/>
      <c r="N179" s="168"/>
      <c r="O179" s="154"/>
      <c r="P179" s="154"/>
      <c r="Q179" s="67" t="s">
        <v>125</v>
      </c>
    </row>
    <row r="180" spans="1:17">
      <c r="A180" s="162"/>
      <c r="B180" s="165"/>
      <c r="C180" s="168"/>
      <c r="D180" s="180"/>
      <c r="E180" s="171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68"/>
      <c r="J180" s="168"/>
      <c r="K180" s="168"/>
      <c r="L180" s="168"/>
      <c r="M180" s="168"/>
      <c r="N180" s="168"/>
      <c r="O180" s="154"/>
      <c r="P180" s="154"/>
      <c r="Q180" s="67" t="s">
        <v>125</v>
      </c>
    </row>
    <row r="181" spans="1:17" ht="17.25" thickBot="1">
      <c r="A181" s="173"/>
      <c r="B181" s="174"/>
      <c r="C181" s="175"/>
      <c r="D181" s="189"/>
      <c r="E181" s="176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75"/>
      <c r="J181" s="175"/>
      <c r="K181" s="175"/>
      <c r="L181" s="175"/>
      <c r="M181" s="175"/>
      <c r="N181" s="175"/>
      <c r="O181" s="155"/>
      <c r="P181" s="155"/>
      <c r="Q181" s="69" t="s">
        <v>125</v>
      </c>
    </row>
    <row r="182" spans="1:17">
      <c r="A182" s="161" t="s">
        <v>91</v>
      </c>
      <c r="B182" s="164" t="str">
        <f t="shared" ref="B182" si="33">IFERROR(IF(ISBLANK(A182),"",IF(C182&gt;E182,"제작","구매")),"")</f>
        <v>구매</v>
      </c>
      <c r="C182" s="167">
        <f>IFERROR(VLOOKUP(A182,'거래소 최저가'!F:G,2,FALSE),0)</f>
        <v>0</v>
      </c>
      <c r="D182" s="179">
        <f t="shared" si="25"/>
        <v>1</v>
      </c>
      <c r="E182" s="170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67">
        <f>IF(ISBLANK(A182),"",SUM(H182:H$207)-SUM(I183:I$207))</f>
        <v>15</v>
      </c>
      <c r="J182" s="167">
        <v>144</v>
      </c>
      <c r="K182" s="167">
        <f>IF(J182=1,1,INT(J182*(1-IF(Q182="배틀아이템",검색!$I$23,IF(Q182="요리",검색!$J$23,IF(Q182="특수",검색!$K$23,IF(Q182="생활도구",검색!$L$23))))*0.01)))</f>
        <v>144</v>
      </c>
      <c r="L182" s="167">
        <v>3</v>
      </c>
      <c r="M182" s="167">
        <f>L182*(1+0.01*IF(Q182="배틀아이템",검색!$I$21,IF(Q182="요리",검색!$J$21,IF(Q182="특수",검색!$K$21,IF(Q182="생활도구",검색!$L$21)))))</f>
        <v>3</v>
      </c>
      <c r="N182" s="167">
        <f t="shared" si="26"/>
        <v>-0.125</v>
      </c>
      <c r="O182" s="153">
        <f t="shared" si="30"/>
        <v>-1250</v>
      </c>
      <c r="P182" s="153">
        <f t="shared" si="27"/>
        <v>-1458.3333333333335</v>
      </c>
      <c r="Q182" s="66" t="s">
        <v>125</v>
      </c>
    </row>
    <row r="183" spans="1:17">
      <c r="A183" s="162"/>
      <c r="B183" s="165"/>
      <c r="C183" s="168"/>
      <c r="D183" s="180"/>
      <c r="E183" s="171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68"/>
      <c r="J183" s="168"/>
      <c r="K183" s="168"/>
      <c r="L183" s="168"/>
      <c r="M183" s="168"/>
      <c r="N183" s="168"/>
      <c r="O183" s="154"/>
      <c r="P183" s="154"/>
      <c r="Q183" s="67" t="s">
        <v>125</v>
      </c>
    </row>
    <row r="184" spans="1:17">
      <c r="A184" s="162"/>
      <c r="B184" s="165"/>
      <c r="C184" s="168"/>
      <c r="D184" s="180"/>
      <c r="E184" s="171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68"/>
      <c r="J184" s="168"/>
      <c r="K184" s="168"/>
      <c r="L184" s="168"/>
      <c r="M184" s="168"/>
      <c r="N184" s="168"/>
      <c r="O184" s="154"/>
      <c r="P184" s="154"/>
      <c r="Q184" s="67" t="s">
        <v>125</v>
      </c>
    </row>
    <row r="185" spans="1:17" ht="17.25" thickBot="1">
      <c r="A185" s="173"/>
      <c r="B185" s="174"/>
      <c r="C185" s="175"/>
      <c r="D185" s="189"/>
      <c r="E185" s="176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75"/>
      <c r="J185" s="175"/>
      <c r="K185" s="175"/>
      <c r="L185" s="175"/>
      <c r="M185" s="175"/>
      <c r="N185" s="175"/>
      <c r="O185" s="155"/>
      <c r="P185" s="155"/>
      <c r="Q185" s="69" t="s">
        <v>125</v>
      </c>
    </row>
    <row r="186" spans="1:17">
      <c r="A186" s="161" t="s">
        <v>92</v>
      </c>
      <c r="B186" s="164" t="str">
        <f t="shared" ref="B186:B218" si="34">IFERROR(IF(ISBLANK(A186),"",IF(C186&gt;E186,"제작","구매")),"")</f>
        <v>구매</v>
      </c>
      <c r="C186" s="167">
        <f>IFERROR(VLOOKUP(A186,'거래소 최저가'!F:G,2,FALSE),0)</f>
        <v>0</v>
      </c>
      <c r="D186" s="179">
        <f t="shared" si="25"/>
        <v>1</v>
      </c>
      <c r="E186" s="170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67">
        <f>IF(ISBLANK(A186),"",SUM(H186:H$207)-SUM(I187:I$207))</f>
        <v>15</v>
      </c>
      <c r="J186" s="167">
        <v>144</v>
      </c>
      <c r="K186" s="167">
        <f>IF(J186=1,1,INT(J186*(1-IF(Q186="배틀아이템",검색!$I$23,IF(Q186="요리",검색!$J$23,IF(Q186="특수",검색!$K$23,IF(Q186="생활도구",검색!$L$23))))*0.01)))</f>
        <v>144</v>
      </c>
      <c r="L186" s="167">
        <v>3</v>
      </c>
      <c r="M186" s="167">
        <f>L186*(1+0.01*IF(Q186="배틀아이템",검색!$I$21,IF(Q186="요리",검색!$J$21,IF(Q186="특수",검색!$K$21,IF(Q186="생활도구",검색!$L$21)))))</f>
        <v>3</v>
      </c>
      <c r="N186" s="167">
        <f t="shared" si="26"/>
        <v>-0.125</v>
      </c>
      <c r="O186" s="153">
        <f t="shared" ref="O186:O211" si="35">N186*10000</f>
        <v>-1250</v>
      </c>
      <c r="P186" s="153">
        <f t="shared" si="27"/>
        <v>-1458.3333333333335</v>
      </c>
      <c r="Q186" s="66" t="s">
        <v>125</v>
      </c>
    </row>
    <row r="187" spans="1:17">
      <c r="A187" s="162"/>
      <c r="B187" s="165"/>
      <c r="C187" s="168"/>
      <c r="D187" s="180"/>
      <c r="E187" s="171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68"/>
      <c r="J187" s="168"/>
      <c r="K187" s="168"/>
      <c r="L187" s="168"/>
      <c r="M187" s="168"/>
      <c r="N187" s="168"/>
      <c r="O187" s="154"/>
      <c r="P187" s="154"/>
      <c r="Q187" s="67" t="s">
        <v>125</v>
      </c>
    </row>
    <row r="188" spans="1:17">
      <c r="A188" s="162"/>
      <c r="B188" s="165"/>
      <c r="C188" s="168"/>
      <c r="D188" s="180"/>
      <c r="E188" s="171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68"/>
      <c r="J188" s="168"/>
      <c r="K188" s="168"/>
      <c r="L188" s="168"/>
      <c r="M188" s="168"/>
      <c r="N188" s="168"/>
      <c r="O188" s="154"/>
      <c r="P188" s="154"/>
      <c r="Q188" s="67" t="s">
        <v>125</v>
      </c>
    </row>
    <row r="189" spans="1:17" ht="17.25" thickBot="1">
      <c r="A189" s="173"/>
      <c r="B189" s="174"/>
      <c r="C189" s="175"/>
      <c r="D189" s="189"/>
      <c r="E189" s="176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75"/>
      <c r="J189" s="175"/>
      <c r="K189" s="175"/>
      <c r="L189" s="175"/>
      <c r="M189" s="175"/>
      <c r="N189" s="175"/>
      <c r="O189" s="155"/>
      <c r="P189" s="155"/>
      <c r="Q189" s="69" t="s">
        <v>125</v>
      </c>
    </row>
    <row r="190" spans="1:17">
      <c r="A190" s="161" t="s">
        <v>94</v>
      </c>
      <c r="B190" s="164" t="str">
        <f t="shared" si="34"/>
        <v>구매</v>
      </c>
      <c r="C190" s="167">
        <f>IFERROR(VLOOKUP(A190,'거래소 최저가'!F:G,2,FALSE),0)</f>
        <v>0</v>
      </c>
      <c r="D190" s="179">
        <f t="shared" si="25"/>
        <v>1</v>
      </c>
      <c r="E190" s="170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67">
        <f>IF(ISBLANK(A190),"",SUM(H190:H$207)-SUM(I191:I$207))</f>
        <v>15</v>
      </c>
      <c r="J190" s="167">
        <v>144</v>
      </c>
      <c r="K190" s="167">
        <f>IF(J190=1,1,INT(J190*(1-IF(Q190="배틀아이템",검색!$I$23,IF(Q190="요리",검색!$J$23,IF(Q190="특수",검색!$K$23,IF(Q190="생활도구",검색!$L$23))))*0.01)))</f>
        <v>144</v>
      </c>
      <c r="L190" s="167">
        <v>3</v>
      </c>
      <c r="M190" s="167">
        <f>L190*(1+0.01*IF(Q190="배틀아이템",검색!$I$21,IF(Q190="요리",검색!$J$21,IF(Q190="특수",검색!$K$21,IF(Q190="생활도구",검색!$L$21)))))</f>
        <v>3</v>
      </c>
      <c r="N190" s="167">
        <f t="shared" si="26"/>
        <v>-0.125</v>
      </c>
      <c r="O190" s="153">
        <f t="shared" si="35"/>
        <v>-1250</v>
      </c>
      <c r="P190" s="153">
        <f t="shared" si="27"/>
        <v>-1458.3333333333335</v>
      </c>
      <c r="Q190" s="66" t="s">
        <v>125</v>
      </c>
    </row>
    <row r="191" spans="1:17">
      <c r="A191" s="162"/>
      <c r="B191" s="165"/>
      <c r="C191" s="168"/>
      <c r="D191" s="180"/>
      <c r="E191" s="171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68"/>
      <c r="J191" s="168"/>
      <c r="K191" s="168"/>
      <c r="L191" s="168"/>
      <c r="M191" s="168"/>
      <c r="N191" s="168"/>
      <c r="O191" s="154"/>
      <c r="P191" s="154"/>
      <c r="Q191" s="67" t="s">
        <v>125</v>
      </c>
    </row>
    <row r="192" spans="1:17">
      <c r="A192" s="162"/>
      <c r="B192" s="165"/>
      <c r="C192" s="168"/>
      <c r="D192" s="180"/>
      <c r="E192" s="171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68"/>
      <c r="J192" s="168"/>
      <c r="K192" s="168"/>
      <c r="L192" s="168"/>
      <c r="M192" s="168"/>
      <c r="N192" s="168"/>
      <c r="O192" s="154"/>
      <c r="P192" s="154"/>
      <c r="Q192" s="67" t="s">
        <v>125</v>
      </c>
    </row>
    <row r="193" spans="1:17" ht="17.25" thickBot="1">
      <c r="A193" s="173"/>
      <c r="B193" s="174"/>
      <c r="C193" s="175"/>
      <c r="D193" s="189"/>
      <c r="E193" s="176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75"/>
      <c r="J193" s="175"/>
      <c r="K193" s="175"/>
      <c r="L193" s="175"/>
      <c r="M193" s="175"/>
      <c r="N193" s="175"/>
      <c r="O193" s="155"/>
      <c r="P193" s="155"/>
      <c r="Q193" s="69" t="s">
        <v>125</v>
      </c>
    </row>
    <row r="194" spans="1:17">
      <c r="A194" s="161" t="s">
        <v>95</v>
      </c>
      <c r="B194" s="164" t="str">
        <f t="shared" si="34"/>
        <v>구매</v>
      </c>
      <c r="C194" s="167">
        <f>IFERROR(VLOOKUP(A194,'거래소 최저가'!F:G,2,FALSE),0)</f>
        <v>0</v>
      </c>
      <c r="D194" s="179">
        <f t="shared" si="25"/>
        <v>1</v>
      </c>
      <c r="E194" s="170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67">
        <f>IF(ISBLANK(A194),"",SUM(H194:H$207)-SUM(I195:I$207))</f>
        <v>15</v>
      </c>
      <c r="J194" s="167">
        <v>144</v>
      </c>
      <c r="K194" s="167">
        <f>IF(J194=1,1,INT(J194*(1-IF(Q194="배틀아이템",검색!$I$23,IF(Q194="요리",검색!$J$23,IF(Q194="특수",검색!$K$23,IF(Q194="생활도구",검색!$L$23))))*0.01)))</f>
        <v>144</v>
      </c>
      <c r="L194" s="167">
        <v>3</v>
      </c>
      <c r="M194" s="167">
        <f>L194*(1+0.01*IF(Q194="배틀아이템",검색!$I$21,IF(Q194="요리",검색!$J$21,IF(Q194="특수",검색!$K$21,IF(Q194="생활도구",검색!$L$21)))))</f>
        <v>3</v>
      </c>
      <c r="N194" s="167">
        <f t="shared" si="26"/>
        <v>-0.125</v>
      </c>
      <c r="O194" s="153">
        <f t="shared" si="35"/>
        <v>-1250</v>
      </c>
      <c r="P194" s="153">
        <f t="shared" si="27"/>
        <v>-1458.3333333333335</v>
      </c>
      <c r="Q194" s="66" t="s">
        <v>125</v>
      </c>
    </row>
    <row r="195" spans="1:17">
      <c r="A195" s="162"/>
      <c r="B195" s="165"/>
      <c r="C195" s="168"/>
      <c r="D195" s="180"/>
      <c r="E195" s="171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68"/>
      <c r="J195" s="168"/>
      <c r="K195" s="168"/>
      <c r="L195" s="168"/>
      <c r="M195" s="168"/>
      <c r="N195" s="168"/>
      <c r="O195" s="154"/>
      <c r="P195" s="154"/>
      <c r="Q195" s="67" t="s">
        <v>125</v>
      </c>
    </row>
    <row r="196" spans="1:17">
      <c r="A196" s="162"/>
      <c r="B196" s="165"/>
      <c r="C196" s="168"/>
      <c r="D196" s="180"/>
      <c r="E196" s="171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68"/>
      <c r="J196" s="168"/>
      <c r="K196" s="168"/>
      <c r="L196" s="168"/>
      <c r="M196" s="168"/>
      <c r="N196" s="168"/>
      <c r="O196" s="154"/>
      <c r="P196" s="154"/>
      <c r="Q196" s="67" t="s">
        <v>125</v>
      </c>
    </row>
    <row r="197" spans="1:17" ht="17.25" thickBot="1">
      <c r="A197" s="173"/>
      <c r="B197" s="174"/>
      <c r="C197" s="175"/>
      <c r="D197" s="189"/>
      <c r="E197" s="176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75"/>
      <c r="J197" s="175"/>
      <c r="K197" s="175"/>
      <c r="L197" s="175"/>
      <c r="M197" s="175"/>
      <c r="N197" s="175"/>
      <c r="O197" s="155"/>
      <c r="P197" s="155"/>
      <c r="Q197" s="69" t="s">
        <v>125</v>
      </c>
    </row>
    <row r="198" spans="1:17" s="31" customFormat="1">
      <c r="A198" s="161" t="s">
        <v>96</v>
      </c>
      <c r="B198" s="164" t="str">
        <f t="shared" si="34"/>
        <v>구매</v>
      </c>
      <c r="C198" s="167">
        <f>IFERROR(VLOOKUP(A198,'거래소 최저가'!F:G,2,FALSE),0)</f>
        <v>0</v>
      </c>
      <c r="D198" s="179">
        <f t="shared" ref="D198:D211" si="37">IFERROR(INT(C198*0.05)+1,"")</f>
        <v>1</v>
      </c>
      <c r="E198" s="170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67">
        <f>IF(ISBLANK(A198),"",SUM(H198:H$207)-SUM(I199:I$207))</f>
        <v>30</v>
      </c>
      <c r="J198" s="167">
        <v>288</v>
      </c>
      <c r="K198" s="167">
        <f>IF(J198=1,1,INT(J198*(1-IF(Q198="배틀아이템",검색!$I$23,IF(Q198="요리",검색!$J$23,IF(Q198="특수",검색!$K$23,IF(Q198="생활도구",검색!$L$23))))*0.01)))</f>
        <v>288</v>
      </c>
      <c r="L198" s="167">
        <v>3</v>
      </c>
      <c r="M198" s="167">
        <f>L198*(1+0.01*IF(Q198="배틀아이템",검색!$I$21,IF(Q198="요리",검색!$J$21,IF(Q198="특수",검색!$K$21,IF(Q198="생활도구",검색!$L$21)))))</f>
        <v>3</v>
      </c>
      <c r="N198" s="167">
        <f t="shared" ref="N198:N211" si="38">IFERROR((((C198-D198)*M198-I198)/K198),"")</f>
        <v>-0.11458333333333333</v>
      </c>
      <c r="O198" s="153">
        <f t="shared" si="35"/>
        <v>-1145.8333333333333</v>
      </c>
      <c r="P198" s="153">
        <f t="shared" ref="P198:P211" si="39">((C198-D198-1)*M198-I198)/K198*10000</f>
        <v>-1250</v>
      </c>
      <c r="Q198" s="66" t="s">
        <v>125</v>
      </c>
    </row>
    <row r="199" spans="1:17" s="30" customFormat="1">
      <c r="A199" s="162"/>
      <c r="B199" s="165"/>
      <c r="C199" s="168"/>
      <c r="D199" s="180"/>
      <c r="E199" s="171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68"/>
      <c r="J199" s="168"/>
      <c r="K199" s="168"/>
      <c r="L199" s="168"/>
      <c r="M199" s="168"/>
      <c r="N199" s="168"/>
      <c r="O199" s="154"/>
      <c r="P199" s="154"/>
      <c r="Q199" s="67" t="s">
        <v>125</v>
      </c>
    </row>
    <row r="200" spans="1:17" s="30" customFormat="1">
      <c r="A200" s="162"/>
      <c r="B200" s="165"/>
      <c r="C200" s="168"/>
      <c r="D200" s="180"/>
      <c r="E200" s="171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68"/>
      <c r="J200" s="168"/>
      <c r="K200" s="168"/>
      <c r="L200" s="168"/>
      <c r="M200" s="168"/>
      <c r="N200" s="168"/>
      <c r="O200" s="154"/>
      <c r="P200" s="154"/>
      <c r="Q200" s="67" t="s">
        <v>125</v>
      </c>
    </row>
    <row r="201" spans="1:17" s="30" customFormat="1">
      <c r="A201" s="162"/>
      <c r="B201" s="165"/>
      <c r="C201" s="168"/>
      <c r="D201" s="180"/>
      <c r="E201" s="171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68"/>
      <c r="J201" s="168"/>
      <c r="K201" s="168"/>
      <c r="L201" s="168"/>
      <c r="M201" s="168"/>
      <c r="N201" s="168"/>
      <c r="O201" s="154"/>
      <c r="P201" s="154"/>
      <c r="Q201" s="67" t="s">
        <v>125</v>
      </c>
    </row>
    <row r="202" spans="1:17" s="30" customFormat="1">
      <c r="A202" s="162"/>
      <c r="B202" s="165"/>
      <c r="C202" s="168"/>
      <c r="D202" s="180"/>
      <c r="E202" s="171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68"/>
      <c r="J202" s="168"/>
      <c r="K202" s="168"/>
      <c r="L202" s="168"/>
      <c r="M202" s="168"/>
      <c r="N202" s="168"/>
      <c r="O202" s="154"/>
      <c r="P202" s="154"/>
      <c r="Q202" s="67" t="s">
        <v>125</v>
      </c>
    </row>
    <row r="203" spans="1:17" s="40" customFormat="1" ht="17.25" thickBot="1">
      <c r="A203" s="173"/>
      <c r="B203" s="174"/>
      <c r="C203" s="175"/>
      <c r="D203" s="189"/>
      <c r="E203" s="176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75"/>
      <c r="J203" s="175"/>
      <c r="K203" s="175"/>
      <c r="L203" s="175"/>
      <c r="M203" s="175"/>
      <c r="N203" s="175"/>
      <c r="O203" s="155"/>
      <c r="P203" s="155"/>
      <c r="Q203" s="69" t="s">
        <v>125</v>
      </c>
    </row>
    <row r="204" spans="1:17">
      <c r="A204" s="161" t="s">
        <v>97</v>
      </c>
      <c r="B204" s="164" t="str">
        <f t="shared" si="34"/>
        <v>구매</v>
      </c>
      <c r="C204" s="167">
        <f>IFERROR(VLOOKUP(A204,'거래소 최저가'!F:G,2,FALSE),0)</f>
        <v>0</v>
      </c>
      <c r="D204" s="179">
        <f t="shared" si="37"/>
        <v>1</v>
      </c>
      <c r="E204" s="170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67">
        <f>IF(ISBLANK(A204),"",SUM(H204:H$207)-SUM(I205:I$207))</f>
        <v>15</v>
      </c>
      <c r="J204" s="167">
        <v>216</v>
      </c>
      <c r="K204" s="167">
        <f>IF(J204=1,1,INT(J204*(1-IF(Q204="배틀아이템",검색!$I$23,IF(Q204="요리",검색!$J$23,IF(Q204="특수",검색!$K$23,IF(Q204="생활도구",검색!$L$23))))*0.01)))</f>
        <v>216</v>
      </c>
      <c r="L204" s="167">
        <v>3</v>
      </c>
      <c r="M204" s="167">
        <f>L204*(1+0.01*IF(Q204="배틀아이템",검색!$I$21,IF(Q204="요리",검색!$J$21,IF(Q204="특수",검색!$K$21,IF(Q204="생활도구",검색!$L$21)))))</f>
        <v>3</v>
      </c>
      <c r="N204" s="167">
        <f t="shared" si="38"/>
        <v>-8.3333333333333329E-2</v>
      </c>
      <c r="O204" s="153">
        <f t="shared" si="35"/>
        <v>-833.33333333333326</v>
      </c>
      <c r="P204" s="153">
        <f t="shared" si="39"/>
        <v>-972.22222222222229</v>
      </c>
      <c r="Q204" s="66" t="s">
        <v>125</v>
      </c>
    </row>
    <row r="205" spans="1:17">
      <c r="A205" s="162"/>
      <c r="B205" s="165"/>
      <c r="C205" s="168"/>
      <c r="D205" s="180"/>
      <c r="E205" s="171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68"/>
      <c r="J205" s="168"/>
      <c r="K205" s="168"/>
      <c r="L205" s="168"/>
      <c r="M205" s="168"/>
      <c r="N205" s="168"/>
      <c r="O205" s="154"/>
      <c r="P205" s="154"/>
      <c r="Q205" s="67" t="s">
        <v>125</v>
      </c>
    </row>
    <row r="206" spans="1:17">
      <c r="A206" s="162"/>
      <c r="B206" s="165"/>
      <c r="C206" s="168"/>
      <c r="D206" s="180"/>
      <c r="E206" s="171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68"/>
      <c r="J206" s="168"/>
      <c r="K206" s="168"/>
      <c r="L206" s="168"/>
      <c r="M206" s="168"/>
      <c r="N206" s="168"/>
      <c r="O206" s="154"/>
      <c r="P206" s="154"/>
      <c r="Q206" s="67" t="s">
        <v>125</v>
      </c>
    </row>
    <row r="207" spans="1:17" ht="17.25" thickBot="1">
      <c r="A207" s="173"/>
      <c r="B207" s="174"/>
      <c r="C207" s="175"/>
      <c r="D207" s="189"/>
      <c r="E207" s="176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75"/>
      <c r="J207" s="175"/>
      <c r="K207" s="175"/>
      <c r="L207" s="175"/>
      <c r="M207" s="175"/>
      <c r="N207" s="175"/>
      <c r="O207" s="155"/>
      <c r="P207" s="155"/>
      <c r="Q207" s="69" t="s">
        <v>125</v>
      </c>
    </row>
    <row r="208" spans="1:17">
      <c r="A208" s="161" t="s">
        <v>98</v>
      </c>
      <c r="B208" s="164" t="str">
        <f t="shared" si="34"/>
        <v>구매</v>
      </c>
      <c r="C208" s="167">
        <f>IFERROR(VLOOKUP(A208,'거래소 최저가'!F:G,2,FALSE),0)</f>
        <v>0</v>
      </c>
      <c r="D208" s="179">
        <f t="shared" si="37"/>
        <v>1</v>
      </c>
      <c r="E208" s="170">
        <f t="shared" si="32"/>
        <v>30</v>
      </c>
      <c r="F208" s="36" t="s">
        <v>101</v>
      </c>
      <c r="G208" s="36">
        <v>3</v>
      </c>
      <c r="H208" s="36">
        <f>VLOOKUP("정령의 회복약",A:E,5,FALSE)*3</f>
        <v>30</v>
      </c>
      <c r="I208" s="167">
        <f t="shared" ref="I208:I269" si="40">IF(ISBLANK(A208),"",SUM(H208:H1208)-SUM(I209:I1209))</f>
        <v>60</v>
      </c>
      <c r="J208" s="167">
        <v>360</v>
      </c>
      <c r="K208" s="167">
        <f>IF(J208=1,1,INT(J208*(1-IF(Q208="배틀아이템",검색!$I$23,IF(Q208="요리",검색!$J$23,IF(Q208="특수",검색!$K$23,IF(Q208="생활도구",검색!$L$23))))*0.01)))</f>
        <v>360</v>
      </c>
      <c r="L208" s="167">
        <v>2</v>
      </c>
      <c r="M208" s="167">
        <f>L208*(1+0.01*IF(Q208="배틀아이템",검색!$I$21,IF(Q208="요리",검색!$J$21,IF(Q208="특수",검색!$K$21,IF(Q208="생활도구",검색!$L$21)))))</f>
        <v>2</v>
      </c>
      <c r="N208" s="167">
        <f t="shared" si="38"/>
        <v>-0.17222222222222222</v>
      </c>
      <c r="O208" s="153">
        <f t="shared" si="35"/>
        <v>-1722.2222222222222</v>
      </c>
      <c r="P208" s="153">
        <f t="shared" si="39"/>
        <v>-1777.7777777777778</v>
      </c>
      <c r="Q208" s="66" t="s">
        <v>125</v>
      </c>
    </row>
    <row r="209" spans="1:17">
      <c r="A209" s="162"/>
      <c r="B209" s="165"/>
      <c r="C209" s="168"/>
      <c r="D209" s="180"/>
      <c r="E209" s="171"/>
      <c r="F209" s="37" t="s">
        <v>17</v>
      </c>
      <c r="G209" s="37">
        <v>8</v>
      </c>
      <c r="H209" s="83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68"/>
      <c r="J209" s="168"/>
      <c r="K209" s="168"/>
      <c r="L209" s="168"/>
      <c r="M209" s="168"/>
      <c r="N209" s="168"/>
      <c r="O209" s="154"/>
      <c r="P209" s="154"/>
      <c r="Q209" s="67" t="s">
        <v>125</v>
      </c>
    </row>
    <row r="210" spans="1:17" ht="17.25" thickBot="1">
      <c r="A210" s="173"/>
      <c r="B210" s="174"/>
      <c r="C210" s="175"/>
      <c r="D210" s="180"/>
      <c r="E210" s="176"/>
      <c r="F210" s="38" t="s">
        <v>18</v>
      </c>
      <c r="G210" s="38">
        <v>30</v>
      </c>
      <c r="H210" s="83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75"/>
      <c r="J210" s="175"/>
      <c r="K210" s="175"/>
      <c r="L210" s="175"/>
      <c r="M210" s="175"/>
      <c r="N210" s="175"/>
      <c r="O210" s="155"/>
      <c r="P210" s="155"/>
      <c r="Q210" s="69" t="s">
        <v>125</v>
      </c>
    </row>
    <row r="211" spans="1:17">
      <c r="A211" s="161" t="s">
        <v>99</v>
      </c>
      <c r="B211" s="164" t="str">
        <f t="shared" si="34"/>
        <v>구매</v>
      </c>
      <c r="C211" s="167">
        <f>IFERROR(VLOOKUP(A211,'거래소 최저가'!F:G,2,FALSE),0)</f>
        <v>0</v>
      </c>
      <c r="D211" s="167">
        <f t="shared" si="37"/>
        <v>1</v>
      </c>
      <c r="E211" s="170">
        <f t="shared" ref="E211:E229" si="41">IFERROR(IF(ISBLANK(A211),"",I211/L211),"")</f>
        <v>15</v>
      </c>
      <c r="F211" s="80" t="s">
        <v>100</v>
      </c>
      <c r="G211" s="80">
        <v>3</v>
      </c>
      <c r="H211" s="80">
        <f>VLOOKUP("정령의 회복약",A:C,3,FALSE)*3</f>
        <v>0</v>
      </c>
      <c r="I211" s="167">
        <f t="shared" si="40"/>
        <v>30</v>
      </c>
      <c r="J211" s="167">
        <v>360</v>
      </c>
      <c r="K211" s="167">
        <f>IF(J211=1,1,INT(J211*(1-IF(Q211="배틀아이템",검색!$I$23,IF(Q211="요리",검색!$J$23,IF(Q211="특수",검색!$K$23,IF(Q211="생활도구",검색!$L$23))))*0.01)))</f>
        <v>360</v>
      </c>
      <c r="L211" s="167">
        <v>2</v>
      </c>
      <c r="M211" s="167">
        <f>L211*(1+0.01*IF(Q211="배틀아이템",검색!$I$21,IF(Q211="요리",검색!$J$21,IF(Q211="특수",검색!$K$21,IF(Q211="생활도구",검색!$L$21)))))</f>
        <v>2</v>
      </c>
      <c r="N211" s="167">
        <f t="shared" si="38"/>
        <v>-8.8888888888888892E-2</v>
      </c>
      <c r="O211" s="153">
        <f t="shared" si="35"/>
        <v>-888.88888888888891</v>
      </c>
      <c r="P211" s="150">
        <f t="shared" si="39"/>
        <v>-944.44444444444446</v>
      </c>
      <c r="Q211" s="72" t="s">
        <v>125</v>
      </c>
    </row>
    <row r="212" spans="1:17">
      <c r="A212" s="162"/>
      <c r="B212" s="165"/>
      <c r="C212" s="168"/>
      <c r="D212" s="168"/>
      <c r="E212" s="171"/>
      <c r="F212" s="81" t="s">
        <v>17</v>
      </c>
      <c r="G212" s="81">
        <v>8</v>
      </c>
      <c r="H212" s="81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68"/>
      <c r="J212" s="168"/>
      <c r="K212" s="168"/>
      <c r="L212" s="168"/>
      <c r="M212" s="168"/>
      <c r="N212" s="168"/>
      <c r="O212" s="154"/>
      <c r="P212" s="151"/>
      <c r="Q212" s="73" t="s">
        <v>125</v>
      </c>
    </row>
    <row r="213" spans="1:17" ht="17.25" thickBot="1">
      <c r="A213" s="163"/>
      <c r="B213" s="166"/>
      <c r="C213" s="169"/>
      <c r="D213" s="169"/>
      <c r="E213" s="172"/>
      <c r="F213" s="82" t="s">
        <v>18</v>
      </c>
      <c r="G213" s="82">
        <v>30</v>
      </c>
      <c r="H213" s="82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69"/>
      <c r="J213" s="169"/>
      <c r="K213" s="169"/>
      <c r="L213" s="169"/>
      <c r="M213" s="169"/>
      <c r="N213" s="169"/>
      <c r="O213" s="158"/>
      <c r="P213" s="152"/>
      <c r="Q213" s="75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2021-12-04T12:14:46Z</dcterms:modified>
</cp:coreProperties>
</file>